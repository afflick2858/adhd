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l List Monday" sheetId="1" state="visible" r:id="rId1"/>
    <sheet name="All Prospects" sheetId="2" state="visible" r:id="rId2"/>
    <sheet name="Already Touched" sheetId="3" state="visible" r:id="rId3"/>
    <sheet name="Pain to Offer Map" sheetId="4" state="visible" r:id="rId4"/>
    <sheet name="More Leads (unverified)" sheetId="5" state="visible" r:id="rId5"/>
    <sheet name="Scoreboard" sheetId="6" state="visible" r:id="rId6"/>
  </sheets>
  <definedNames>
    <definedName name="_xlnm._FilterDatabase" localSheetId="0" hidden="1">'Call List Monday'!$A$1:$AD$39</definedName>
    <definedName name="_xlnm._FilterDatabase" localSheetId="1" hidden="1">'All Prospects'!$A$1:$V$61</definedName>
    <definedName name="_xlnm._FilterDatabase" localSheetId="2" hidden="1">'Already Touched'!$A$1:$E$17</definedName>
    <definedName name="_xlnm._FilterDatabase" localSheetId="3" hidden="1">'Pain to Offer Map'!$A$1:$F$9</definedName>
    <definedName name="_xlnm._FilterDatabase" localSheetId="4" hidden="1">'More Leads (unverified)'!$A$1:$I$405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sz val="12"/>
    </font>
    <font>
      <name val="Arial"/>
      <b val="1"/>
      <sz val="10"/>
    </font>
    <font>
      <name val="Arial"/>
      <i val="1"/>
      <sz val="9"/>
    </font>
  </fonts>
  <fills count="4">
    <fill>
      <patternFill/>
    </fill>
    <fill>
      <patternFill patternType="gray125"/>
    </fill>
    <fill>
      <patternFill patternType="solid">
        <fgColor rgb="000B2447"/>
      </patternFill>
    </fill>
    <fill>
      <patternFill patternType="solid">
        <fgColor rgb="00FFFF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2" fillId="0" borderId="0" pivotButton="0" quotePrefix="0" xfId="0"/>
    <xf numFmtId="164" fontId="2" fillId="0" borderId="0" pivotButton="0" quotePrefix="0" xfId="0"/>
    <xf numFmtId="0" fontId="5" fillId="0" borderId="0" pivotButton="0" quotePrefix="0" xfId="0"/>
  </cellXfs>
  <cellStyles count="1">
    <cellStyle name="Normal" xfId="0" builtinId="0" hidden="0"/>
  </cellStyles>
  <dxfs count="2">
    <dxf>
      <fill>
        <patternFill patternType="solid">
          <fgColor rgb="00E2F0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30" customWidth="1" min="3" max="3"/>
    <col width="24" customWidth="1" min="4" max="4"/>
    <col width="16" customWidth="1" min="5" max="5"/>
    <col width="18" customWidth="1" min="6" max="6"/>
    <col width="16" customWidth="1" min="7" max="7"/>
    <col width="16" customWidth="1" min="8" max="8"/>
    <col width="12" customWidth="1" min="9" max="9"/>
    <col width="24" customWidth="1" min="10" max="10"/>
    <col width="48" customWidth="1" min="11" max="11"/>
    <col width="44" customWidth="1" min="12" max="12"/>
    <col width="30" customWidth="1" min="13" max="13"/>
    <col width="22" customWidth="1" min="14" max="14"/>
    <col width="14" customWidth="1" min="15" max="15"/>
    <col width="10" customWidth="1" min="16" max="16"/>
    <col width="28" customWidth="1" min="17" max="17"/>
    <col width="24" customWidth="1" min="18" max="18"/>
    <col width="32" customWidth="1" min="19" max="19"/>
    <col width="14" customWidth="1" min="20" max="20"/>
    <col width="18" customWidth="1" min="21" max="21"/>
    <col width="12" customWidth="1" min="22" max="22"/>
    <col width="12" customWidth="1" min="23" max="23"/>
    <col width="14" customWidth="1" min="24" max="24"/>
    <col width="36" customWidth="1" min="25" max="25"/>
    <col width="10" customWidth="1" min="26" max="26"/>
    <col width="18" customWidth="1" min="27" max="27"/>
    <col width="24" customWidth="1" min="28" max="28"/>
    <col width="14" customWidth="1" min="29" max="29"/>
    <col width="30" customWidth="1" min="30" max="30"/>
  </cols>
  <sheetData>
    <row r="1" ht="32" customHeight="1">
      <c r="A1" s="1" t="inlineStr">
        <is>
          <t>#</t>
        </is>
      </c>
      <c r="B1" s="1" t="inlineStr">
        <is>
          <t>Tier</t>
        </is>
      </c>
      <c r="C1" s="1" t="inlineStr">
        <is>
          <t>Company</t>
        </is>
      </c>
      <c r="D1" s="1" t="inlineStr">
        <is>
          <t>Owner / Decision Maker</t>
        </is>
      </c>
      <c r="E1" s="1" t="inlineStr">
        <is>
          <t>Title</t>
        </is>
      </c>
      <c r="F1" s="1" t="inlineStr">
        <is>
          <t>Phone</t>
        </is>
      </c>
      <c r="G1" s="1" t="inlineStr">
        <is>
          <t>Alt Phone</t>
        </is>
      </c>
      <c r="H1" s="1" t="inlineStr">
        <is>
          <t>City</t>
        </is>
      </c>
      <c r="I1" s="1" t="inlineStr">
        <is>
          <t>County</t>
        </is>
      </c>
      <c r="J1" s="1" t="inlineStr">
        <is>
          <t>What They Need (service)</t>
        </is>
      </c>
      <c r="K1" s="1" t="inlineStr">
        <is>
          <t>Opening Line (say this)</t>
        </is>
      </c>
      <c r="L1" s="1" t="inlineStr">
        <is>
          <t>Observable Leaks (why them)</t>
        </is>
      </c>
      <c r="M1" s="1" t="inlineStr">
        <is>
          <t>Verified?</t>
        </is>
      </c>
      <c r="N1" s="1" t="inlineStr">
        <is>
          <t>Grant Eligible?</t>
        </is>
      </c>
      <c r="O1" s="1" t="inlineStr">
        <is>
          <t>Size</t>
        </is>
      </c>
      <c r="P1" s="1" t="inlineStr">
        <is>
          <t>Founded</t>
        </is>
      </c>
      <c r="Q1" s="1" t="inlineStr">
        <is>
          <t>Website</t>
        </is>
      </c>
      <c r="R1" s="1" t="inlineStr">
        <is>
          <t>Email</t>
        </is>
      </c>
      <c r="S1" s="1" t="inlineStr">
        <is>
          <t>Address</t>
        </is>
      </c>
      <c r="T1" s="1" t="inlineStr">
        <is>
          <t>Reviews (rating / count)</t>
        </is>
      </c>
      <c r="U1" s="1" t="inlineStr">
        <is>
          <t>Software Seen</t>
        </is>
      </c>
      <c r="V1" s="1" t="inlineStr">
        <is>
          <t>Online Booking?</t>
        </is>
      </c>
      <c r="W1" s="1" t="inlineStr">
        <is>
          <t>License # on Site?</t>
        </is>
      </c>
      <c r="X1" s="1" t="inlineStr">
        <is>
          <t>Hiring?</t>
        </is>
      </c>
      <c r="Y1" s="1" t="inlineStr">
        <is>
          <t>Verifier Notes</t>
        </is>
      </c>
      <c r="Z1" s="1" t="inlineStr">
        <is>
          <t>Called? (Y/N)</t>
        </is>
      </c>
      <c r="AA1" s="1" t="inlineStr">
        <is>
          <t>Outcome</t>
        </is>
      </c>
      <c r="AB1" s="1" t="inlineStr">
        <is>
          <t>Next Step</t>
        </is>
      </c>
      <c r="AC1" s="1" t="inlineStr">
        <is>
          <t>Follow-up Date</t>
        </is>
      </c>
      <c r="AD1" s="1" t="inlineStr">
        <is>
          <t>My Notes</t>
        </is>
      </c>
    </row>
    <row r="2">
      <c r="A2" s="2" t="n">
        <v>1</v>
      </c>
      <c r="B2" s="2" t="inlineStr">
        <is>
          <t>A</t>
        </is>
      </c>
      <c r="C2" s="2" t="inlineStr">
        <is>
          <t>AC Police LLC</t>
        </is>
      </c>
      <c r="D2" s="2" t="inlineStr">
        <is>
          <t>Shawn Miranda</t>
        </is>
      </c>
      <c r="E2" s="2" t="inlineStr">
        <is>
          <t>Owner / license holder CAC1818540</t>
        </is>
      </c>
      <c r="F2" s="2" t="inlineStr">
        <is>
          <t>(954) 812-2969</t>
        </is>
      </c>
      <c r="G2" s="2" t="inlineStr"/>
      <c r="H2" s="2" t="inlineStr">
        <is>
          <t>Davie</t>
        </is>
      </c>
      <c r="I2" s="2" t="inlineStr">
        <is>
          <t>Broward</t>
        </is>
      </c>
      <c r="J2" s="2" t="inlineStr">
        <is>
          <t>Systems + AI Enablement</t>
        </is>
      </c>
      <c r="K2" s="2" t="inlineStr">
        <is>
          <t>Shawn, you're hiring techs at $22 to $35 an hour, which usually means newer guys writing estimates their own way while you're still at 19 Yelp reviews after nine years. Putting a standard estimate and automatic follow-up into your field software, with a review request on every closed job, is how that hiring turns into closed work instead of callbacks.</t>
        </is>
      </c>
      <c r="L2" s="2" t="inlineStr">
        <is>
          <t>Only 19 Yelp reviews (and 4.5 on Yahoo with 19) after nine years for a shop claiming 11-50 staff; hiring at $22-35/hr points to onboarding greener techs; mailbox-style suite address; 24-hour operation with a small review base; no booking or maintenance-plan page seen</t>
        </is>
      </c>
      <c r="M2" s="2" t="inlineStr"/>
      <c r="N2" s="2" t="inlineStr">
        <is>
          <t>Yes - CareerSource Broward (90%)</t>
        </is>
      </c>
      <c r="O2" s="2" t="inlineStr">
        <is>
          <t>11-50 employees (directory claim); actively hiring technicians</t>
        </is>
      </c>
      <c r="P2" s="2" t="inlineStr">
        <is>
          <t>2016</t>
        </is>
      </c>
      <c r="Q2" s="2" t="inlineStr">
        <is>
          <t>https://www.acpolicellc.com/</t>
        </is>
      </c>
      <c r="R2" s="2" t="inlineStr"/>
      <c r="S2" s="2" t="inlineStr">
        <is>
          <t>4611 S University Dr #424, Davie, FL 33328 (suite number suggests a mailbox address; BBB lists the profile under Hollywood, FL)</t>
        </is>
      </c>
      <c r="T2" s="2" t="inlineStr"/>
      <c r="U2" s="2" t="inlineStr"/>
      <c r="V2" s="2" t="inlineStr">
        <is>
          <t>Not seen in snippets (unverified)</t>
        </is>
      </c>
      <c r="W2" s="2" t="inlineStr">
        <is>
          <t>CAC1818540 seen in search snippets; placement on the website not verified</t>
        </is>
      </c>
      <c r="X2" s="2" t="inlineStr">
        <is>
          <t>Yes: hiring full-time HVAC technicians at $22-$35/hr (Indeed, 2026)</t>
        </is>
      </c>
      <c r="Y2" s="2" t="inlineStr"/>
      <c r="Z2" s="3" t="inlineStr"/>
      <c r="AA2" s="3" t="inlineStr"/>
      <c r="AB2" s="3" t="inlineStr"/>
      <c r="AC2" s="3" t="inlineStr"/>
      <c r="AD2" s="3" t="inlineStr"/>
    </row>
    <row r="3">
      <c r="A3" s="2" t="n">
        <v>2</v>
      </c>
      <c r="B3" s="2" t="inlineStr">
        <is>
          <t>A</t>
        </is>
      </c>
      <c r="C3" s="2" t="inlineStr">
        <is>
          <t>Air Condition Army LLC</t>
        </is>
      </c>
      <c r="D3" s="2" t="inlineStr">
        <is>
          <t>Christopher Franzese</t>
        </is>
      </c>
      <c r="E3" s="2" t="inlineStr">
        <is>
          <t>Managing Member</t>
        </is>
      </c>
      <c r="F3" s="2" t="inlineStr">
        <is>
          <t>(954) 867-8484</t>
        </is>
      </c>
      <c r="G3" s="2" t="inlineStr">
        <is>
          <t>(954) 297-5385 ('late hours' number on site, per original lead sheet; not re-confirmed in snippets)</t>
        </is>
      </c>
      <c r="H3" s="2" t="inlineStr">
        <is>
          <t>Sunrise</t>
        </is>
      </c>
      <c r="I3" s="2" t="inlineStr">
        <is>
          <t>Broward</t>
        </is>
      </c>
      <c r="J3" s="2" t="inlineStr">
        <is>
          <t>Operations Audit &amp; Strategic Roadmap</t>
        </is>
      </c>
      <c r="K3" s="2" t="inlineStr">
        <is>
          <t>Chris, you've gone from a new LLC to 15 people and 1,500 five-star Google reviews in about three years - but a BBB complaint sat unanswered and dropped you to a C+, which is what happens when the office can't keep pace with the trucks. Ann rebuilt a three-company HVAC merger in Pompano the same way - right managers in the right seats, booking, permits and inventory systems - and they hit their five-year numbers in two.</t>
        </is>
      </c>
      <c r="L3" s="2" t="inlineStr">
        <is>
          <t>BBB C+ rating because 1 complaint went unanswered - nobody owns the complaint inbox; two phone numbers on site (main plus late-hours); 'free service call' pricing (margin pressure); 1,592 five-star Google reviews in about three years means the review engine is strong but the back office is not keeping pace; scaled from new LLC to 15 employees with at least five service lines (commercial, mobile home, ductwork, mini split, package units) and a three-county service area; no booking widget confirmed</t>
        </is>
      </c>
      <c r="M3" s="2" t="inlineStr">
        <is>
          <t>Phone: confirmed | Owner: confirmed | Independent: confirmed - Sunbiz: LLC filed 9/30/2020 (doc L20000308783); BBB: started operating locally 4/17/2023, 15 employees; family owned and operated per listings; no acquisition, second-location, partnership, PE or franchise hits (a specific 'acquired OR expansion OR second location' search returned nothing)</t>
        </is>
      </c>
      <c r="N3" s="2" t="inlineStr">
        <is>
          <t>Yes - CareerSource Broward (90%)</t>
        </is>
      </c>
      <c r="O3" s="2" t="inlineStr">
        <is>
          <t>15 employees (BBB); est. 6-10 trucks, roughly $2-4M revenue</t>
        </is>
      </c>
      <c r="P3" s="2" t="inlineStr">
        <is>
          <t>2020 (LLC incorporated 9/30/2020; BBB lists local start 4/17/2023; site claims 'family owned, 25+ yrs' of experience)</t>
        </is>
      </c>
      <c r="Q3" s="2" t="inlineStr">
        <is>
          <t>airconditionarmy.com</t>
        </is>
      </c>
      <c r="R3" s="2" t="inlineStr"/>
      <c r="S3" s="2" t="inlineStr">
        <is>
          <t>10550 NW 21st Ct, 33322</t>
        </is>
      </c>
      <c r="T3" s="2" t="inlineStr">
        <is>
          <t>5.0 / 1,592</t>
        </is>
      </c>
      <c r="U3" s="2" t="inlineStr">
        <is>
          <t>Birdeye (review aggregation, 2,558 reviews listed); Wisetack and Synchrony financing</t>
        </is>
      </c>
      <c r="V3" s="2" t="inlineStr">
        <is>
          <t>Not confirmed - 'schedule' calls to action but no booking widget identified</t>
        </is>
      </c>
      <c r="W3" s="2" t="inlineStr">
        <is>
          <t>Yes - CAC1822261</t>
        </is>
      </c>
      <c r="X3" s="2" t="inlineStr">
        <is>
          <t>No evidence found</t>
        </is>
      </c>
      <c r="Y3" s="2" t="inlineStr">
        <is>
          <t>BBB: NOT accredited, C+ rating because the business failed to respond to 1 complaint (BBB customer reviews are 5/5 from 15). Review volume is unusually high for a 2023 start: Google 5.0 with ~1,592 reviews, Birdeye 5.0 with 2,558, Yelp 4.6 (31, filed under Fort Lauderdale) - indicates aggressive review solicitation and a fast-scaling multi-truck shop, not a one-man operation. Marketing claims '25+ years of proven experience' vs. 2020 formation. Offers free service calls, Synchrony and Wisetack financing, mobile-home HVAC niche, commercial HVAC; serves Broward, Palm Beach and Treasure Coast. No current job postings found. Verification basis: cached BBB, Sunbiz, Yelp, Birdeye, BuildZoom, Nextdoor and FL registry snippets; no live lookups possible.</t>
        </is>
      </c>
      <c r="Z3" s="3" t="inlineStr"/>
      <c r="AA3" s="3" t="inlineStr"/>
      <c r="AB3" s="3" t="inlineStr"/>
      <c r="AC3" s="3" t="inlineStr"/>
      <c r="AD3" s="3" t="inlineStr"/>
    </row>
    <row r="4">
      <c r="A4" s="2" t="n">
        <v>3</v>
      </c>
      <c r="B4" s="2" t="inlineStr">
        <is>
          <t>A</t>
        </is>
      </c>
      <c r="C4" s="2" t="inlineStr">
        <is>
          <t>American HVAC Inc</t>
        </is>
      </c>
      <c r="D4" s="2" t="inlineStr">
        <is>
          <t>Nicholas (Nick) Sindicich</t>
        </is>
      </c>
      <c r="E4" s="2" t="inlineStr">
        <is>
          <t>VP / registered agent (BBB principal); contact for HVAC sales, service, installation</t>
        </is>
      </c>
      <c r="F4" s="2" t="inlineStr">
        <is>
          <t>(954) 772-0000</t>
        </is>
      </c>
      <c r="G4" s="2" t="inlineStr"/>
      <c r="H4" s="2" t="inlineStr">
        <is>
          <t>Pompano Beach</t>
        </is>
      </c>
      <c r="I4" s="2" t="inlineStr">
        <is>
          <t>Broward</t>
        </is>
      </c>
      <c r="J4" s="2" t="inlineStr">
        <is>
          <t>Team Training</t>
        </is>
      </c>
      <c r="K4" s="2" t="inlineStr">
        <is>
          <t>Nick, you're offering a $1,000 sign-on bonus for techs at $30 to $40 an hour, which tells me the work is growing faster than you can staff it. CareerSource Broward will cover 90% of a half-day training for the office and techs you already have, and I rebuilt a three-company commercial shop in Pompano (FMBS) that hit its 5-year goals in 2.</t>
        </is>
      </c>
      <c r="L4" s="2" t="inlineStr">
        <is>
          <t>No public reviews found anywhere for a 47-year-old company; not BBB accredited; no CAC number visible in snippets; paying a $1,000 sign-on bonus (recruiting pressure); LinkedIn company slug reads 'american-hvac-&amp;-plumbing-inc-' (check whether a plumbing division was added); property-management clientele (FAA/FALA vendor guides) means maintenance-agreement tracking matters</t>
        </is>
      </c>
      <c r="M4" s="2" t="inlineStr"/>
      <c r="N4" s="2" t="inlineStr">
        <is>
          <t>Yes - CareerSource Broward (90%)</t>
        </is>
      </c>
      <c r="O4" s="2" t="inlineStr">
        <is>
          <t>Est. 15-40 employees: commercial HVAC-R across three counties, actively hiring techs with a sign-on bonus; headcount not published in snippets</t>
        </is>
      </c>
      <c r="P4" s="2" t="inlineStr">
        <is>
          <t>1979 (BBB: business started 7/31/1979; incorporated 6/8/2000)</t>
        </is>
      </c>
      <c r="Q4" s="2" t="inlineStr">
        <is>
          <t>https://americanhvac.com</t>
        </is>
      </c>
      <c r="R4" s="2" t="inlineStr"/>
      <c r="S4" s="2" t="inlineStr">
        <is>
          <t>2560 N Powerline Rd Ste 205, Pompano Beach, FL 33069</t>
        </is>
      </c>
      <c r="T4" s="2" t="inlineStr">
        <is>
          <t>No customer reviews surfaced on any platform</t>
        </is>
      </c>
      <c r="U4" s="2" t="inlineStr"/>
      <c r="V4" s="2" t="inlineStr">
        <is>
          <t>Not seen (commercial contractor; site could not be fetched)</t>
        </is>
      </c>
      <c r="W4" s="2" t="inlineStr">
        <is>
          <t>Not seen in search snippets</t>
        </is>
      </c>
      <c r="X4" s="2" t="inlineStr">
        <is>
          <t>Yes - Indeed listing: HVAC Technicians $30-$40/hr with $1,000 sign-on bonus</t>
        </is>
      </c>
      <c r="Y4" s="2" t="inlineStr"/>
      <c r="Z4" s="3" t="inlineStr"/>
      <c r="AA4" s="3" t="inlineStr"/>
      <c r="AB4" s="3" t="inlineStr"/>
      <c r="AC4" s="3" t="inlineStr"/>
      <c r="AD4" s="3" t="inlineStr"/>
    </row>
    <row r="5">
      <c r="A5" s="2" t="n">
        <v>4</v>
      </c>
      <c r="B5" s="2" t="inlineStr">
        <is>
          <t>A</t>
        </is>
      </c>
      <c r="C5" s="2" t="inlineStr">
        <is>
          <t>B Cool, Inc.</t>
        </is>
      </c>
      <c r="D5" s="2" t="inlineStr">
        <is>
          <t>Mark T. Bonawitz</t>
        </is>
      </c>
      <c r="E5" s="2" t="inlineStr">
        <is>
          <t>President</t>
        </is>
      </c>
      <c r="F5" s="2" t="inlineStr">
        <is>
          <t>(954) 680-6325</t>
        </is>
      </c>
      <c r="G5" s="2" t="inlineStr">
        <is>
          <t>(954) 583-7838 (older directory listing at a 52nd St address)</t>
        </is>
      </c>
      <c r="H5" s="2" t="inlineStr">
        <is>
          <t>Davie</t>
        </is>
      </c>
      <c r="I5" s="2" t="inlineStr">
        <is>
          <t>Broward</t>
        </is>
      </c>
      <c r="J5" s="2" t="inlineStr">
        <is>
          <t>Systems + AI Enablement</t>
        </is>
      </c>
      <c r="K5" s="2" t="inlineStr">
        <is>
          <t>Mark, 164 five-star Google reviews and an A+ with the BBB, but you're running two websites and the office closes at six with no weekend booking - in Davie that's a lot of Saturday calls going to the next guy. Ann wired up booking and follow-up systems for a three-shop HVAC merger in Pompano and they hit their five-year numbers in two.</t>
        </is>
      </c>
      <c r="L5" s="2" t="inlineStr">
        <is>
          <t>Two websites (bcoolinc.com and acinbroward.com) and two phone numbers across listings - split web identity; office hours Mon-Fri 9-6, closed weekends despite 'emergency service available' claim - no after-hours intake; no online booking (form only); Yelp only 19 reviews vs 164 on Google; Birdeye account with 1 review (review tool not used); 37-year-old shop with husband-and-wife principals - succession and systems-upgrade moment</t>
        </is>
      </c>
      <c r="M5" s="2" t="inlineStr">
        <is>
          <t>Phone: confirmed | Owner: confirmed | Independent: confirmed - family owned and operated since 1988 (incorporated 6/16/1988; BBB 'business started' 5/8/2001), 1-24 employees, &lt;$5M revenue; Rheem ProPartner and authorized Trane dealer (dealer programs, not franchise/ownership); no acquisition, partnership or PE hits. Note: ZoomInfo's 'B-Cool Air Conditioning &amp; Heating' and 'BCool' entries are different companies</t>
        </is>
      </c>
      <c r="N5" s="2" t="inlineStr">
        <is>
          <t>Yes - CareerSource Broward (90%)</t>
        </is>
      </c>
      <c r="O5" s="2" t="inlineStr">
        <is>
          <t>1-24 employees (BBB/D&amp;B), revenue under $5M; est. 4-8 trucks</t>
        </is>
      </c>
      <c r="P5" s="2" t="inlineStr">
        <is>
          <t>1988 (incorporated 6/16/1988; BBB business start 5/8/2001)</t>
        </is>
      </c>
      <c r="Q5" s="2" t="inlineStr">
        <is>
          <t>bcoolinc.com (also runs a second site, acinbroward.com)</t>
        </is>
      </c>
      <c r="R5" s="2" t="inlineStr"/>
      <c r="S5" s="2" t="inlineStr">
        <is>
          <t>14170 SW 37th Ct, 33330-1518</t>
        </is>
      </c>
      <c r="T5" s="2" t="inlineStr">
        <is>
          <t>4.9 / 164</t>
        </is>
      </c>
      <c r="U5" s="2" t="inlineStr">
        <is>
          <t>None detected; Birdeye page exists with only 1 review (unused)</t>
        </is>
      </c>
      <c r="V5" s="2" t="inlineStr">
        <is>
          <t>No - online contact form to request an in-home consultation, no booking widget</t>
        </is>
      </c>
      <c r="W5" s="2" t="inlineStr">
        <is>
          <t>Yes - CAC058523 (BBB lists it; DBPR shows Mark T. Bonawitz)</t>
        </is>
      </c>
      <c r="X5" s="2" t="inlineStr">
        <is>
          <t>No evidence</t>
        </is>
      </c>
      <c r="Y5" s="2" t="inlineStr">
        <is>
          <t>BBB Accredited since 11/21/2008, A+ rating. Second website acinbroward.com confirmed (indexed pages 'Air Conditioner Repair &amp; Furnace Repair Davie' and 'About B Cool Inc' live on that domain). Ratings: Google 4.9 (164 reviews), Yelp 4.6 (19), Yahoo 4.5 (19), Birdeye only 1. Hours Mon-Fri 9-6, closed Sat/Sun - no after-hours coverage. 37-year husband-and-wife shop. Minor flag: the DBPR result title reads 'Registered Air Conditioning Contractor' while BBB cites CAC058523 (a Certified-class number) - verify license class only if it matters to the pitch. A ZoomInfo hit for a 'Chris Bonawitz' uses a different email domain and is unverified as a family member. No hiring signals. Verification basis: cached BBB, DBPR, D&amp;B, Yelp, Yahoo Local, ZoomInfo and acinbroward.com snippets; no live lookups possible.</t>
        </is>
      </c>
      <c r="Z5" s="3" t="inlineStr"/>
      <c r="AA5" s="3" t="inlineStr"/>
      <c r="AB5" s="3" t="inlineStr"/>
      <c r="AC5" s="3" t="inlineStr"/>
      <c r="AD5" s="3" t="inlineStr"/>
    </row>
    <row r="6">
      <c r="A6" s="2" t="n">
        <v>5</v>
      </c>
      <c r="B6" s="2" t="inlineStr">
        <is>
          <t>A</t>
        </is>
      </c>
      <c r="C6" s="2" t="inlineStr">
        <is>
          <t>Big Time Air Conditioning</t>
        </is>
      </c>
      <c r="D6" s="2" t="inlineStr">
        <is>
          <t>Leron Vahnounou</t>
        </is>
      </c>
      <c r="E6" s="2" t="inlineStr">
        <is>
          <t>Founder / license holder CAC1822336</t>
        </is>
      </c>
      <c r="F6" s="2" t="inlineStr">
        <is>
          <t>954-554-7429</t>
        </is>
      </c>
      <c r="G6" s="2" t="inlineStr"/>
      <c r="H6" s="2" t="inlineStr">
        <is>
          <t>Davie</t>
        </is>
      </c>
      <c r="I6" s="2" t="inlineStr">
        <is>
          <t>Broward</t>
        </is>
      </c>
      <c r="J6" s="2" t="inlineStr">
        <is>
          <t>Operations Audit &amp; Strategic Roadmap</t>
        </is>
      </c>
      <c r="K6" s="2" t="inlineStr">
        <is>
          <t>Leron, you've taken Big Time from Davie into West Palm Beach, and that second location is exactly where booking, permits and inventory start slipping between offices. I rebuilt that for a three-company HVAC merger in Pompano Beach (FMBS): right managers over the right pieces, one booking and permit system, and they hit their five-year numbers in two.</t>
        </is>
      </c>
      <c r="L6" s="2" t="inlineStr">
        <is>
          <t>Yelp listing shows 33 photos but no review count (no visible reviews); website has two inconsistent URL structures (/location/ and /locations/) suggesting rebuilt or agency SEO city pages; opened a West Palm Beach location (growth without visible review base); Facebook active</t>
        </is>
      </c>
      <c r="M6" s="2" t="inlineStr"/>
      <c r="N6" s="2" t="inlineStr">
        <is>
          <t>Yes - CareerSource Broward (90%)</t>
        </is>
      </c>
      <c r="O6" s="2" t="inlineStr">
        <is>
          <t>Small: two people listed on BuildZoom; two locations (Davie HQ and a West Palm Beach page); estimate 3-10 people</t>
        </is>
      </c>
      <c r="P6" s="2" t="inlineStr">
        <is>
          <t>2012</t>
        </is>
      </c>
      <c r="Q6" s="2" t="inlineStr">
        <is>
          <t>https://www.bigtimeairconditioning.com/</t>
        </is>
      </c>
      <c r="R6" s="2" t="inlineStr"/>
      <c r="S6" s="2" t="inlineStr">
        <is>
          <t>5021 S State Road 7, Unit 208, Davie, FL</t>
        </is>
      </c>
      <c r="T6" s="2" t="inlineStr"/>
      <c r="U6" s="2" t="inlineStr"/>
      <c r="V6" s="2" t="inlineStr">
        <is>
          <t>Not seen in snippets (unverified)</t>
        </is>
      </c>
      <c r="W6" s="2" t="inlineStr">
        <is>
          <t>Yes: CAC1822336 appears on the company's Pembroke Pines location page</t>
        </is>
      </c>
      <c r="X6" s="2" t="inlineStr"/>
      <c r="Y6" s="2" t="inlineStr"/>
      <c r="Z6" s="3" t="inlineStr"/>
      <c r="AA6" s="3" t="inlineStr"/>
      <c r="AB6" s="3" t="inlineStr"/>
      <c r="AC6" s="3" t="inlineStr"/>
      <c r="AD6" s="3" t="inlineStr"/>
    </row>
    <row r="7">
      <c r="A7" s="2" t="n">
        <v>6</v>
      </c>
      <c r="B7" s="2" t="inlineStr">
        <is>
          <t>A</t>
        </is>
      </c>
      <c r="C7" s="2" t="inlineStr">
        <is>
          <t>Brisk Air, Inc (dba Brisk Air, briskaircool.com)</t>
        </is>
      </c>
      <c r="D7" s="2" t="inlineStr">
        <is>
          <t>Andy Andres</t>
        </is>
      </c>
      <c r="E7" s="2" t="inlineStr">
        <is>
          <t>President (per BBB profile)</t>
        </is>
      </c>
      <c r="F7" s="2" t="inlineStr">
        <is>
          <t>(954) 369-1639</t>
        </is>
      </c>
      <c r="G7" s="2" t="inlineStr"/>
      <c r="H7" s="2" t="inlineStr">
        <is>
          <t>Coral Springs (HQ per BBB; Miramar, Southwest Ranches and Hollywood are service-area pages)</t>
        </is>
      </c>
      <c r="I7" s="2" t="inlineStr">
        <is>
          <t>Broward</t>
        </is>
      </c>
      <c r="J7" s="2" t="inlineStr">
        <is>
          <t>Marketing &amp; Website Makeover</t>
        </is>
      </c>
      <c r="K7" s="2" t="inlineStr">
        <is>
          <t>Andy, your Southwest Ranches page is live at a web address that spells it 'ac-copmany', and none of your city pages show a phone number or a single review, so whoever built the site is not checking it. I fix exactly that for Broward family shops: real reviews on the site, a book-now button, your license number and a maintenance-plan page, and I am ten minutes away in Plantation.</t>
        </is>
      </c>
      <c r="L7" s="2" t="inlineStr">
        <is>
          <t>Programmatic city pages (Miramar, Southwest Ranches, Hollywood) including a live misspelled URL slug 'ac-copmany-southwest-ranches-fl' = unchecked agency/template SEO; no phone number appears in any city-page snippet; no review counts surfaced anywhere; BBB lists the HQ in Coral Springs as a commercial contractor while the site markets residential work 30+ miles away in Miramar and Hollywood (wide dispatch radius for a small team); family runs the office (wife is Secretary)</t>
        </is>
      </c>
      <c r="M7" s="2" t="inlineStr"/>
      <c r="N7" s="2" t="inlineStr">
        <is>
          <t>Yes - CareerSource Broward (90%)</t>
        </is>
      </c>
      <c r="O7" s="2" t="inlineStr">
        <is>
          <t>Small family shop, est. 3-10 employees / 2-5 trucks (suite address, spouse in office, wide service radius; no headcount shown)</t>
        </is>
      </c>
      <c r="P7" s="2" t="inlineStr">
        <is>
          <t>1972 (per company website)</t>
        </is>
      </c>
      <c r="Q7" s="2" t="inlineStr">
        <is>
          <t>briskaircool.com</t>
        </is>
      </c>
      <c r="R7" s="2" t="inlineStr"/>
      <c r="S7" s="2" t="inlineStr">
        <is>
          <t>4450 NW 126th Ave Ste 103, Coral Springs, FL 33065</t>
        </is>
      </c>
      <c r="T7" s="2" t="inlineStr"/>
      <c r="U7" s="2" t="inlineStr"/>
      <c r="V7" s="2" t="inlineStr">
        <is>
          <t>None seen in snippets</t>
        </is>
      </c>
      <c r="W7" s="2" t="inlineStr">
        <is>
          <t>No CAC number seen in any site snippet (not confirmed absent)</t>
        </is>
      </c>
      <c r="X7" s="2" t="inlineStr"/>
      <c r="Y7" s="2" t="inlineStr"/>
      <c r="Z7" s="3" t="inlineStr"/>
      <c r="AA7" s="3" t="inlineStr"/>
      <c r="AB7" s="3" t="inlineStr"/>
      <c r="AC7" s="3" t="inlineStr"/>
      <c r="AD7" s="3" t="inlineStr"/>
    </row>
    <row r="8">
      <c r="A8" s="2" t="n">
        <v>7</v>
      </c>
      <c r="B8" s="2" t="inlineStr">
        <is>
          <t>A</t>
        </is>
      </c>
      <c r="C8" s="2" t="inlineStr">
        <is>
          <t>Comfort Zone Air Conditioning, Inc.</t>
        </is>
      </c>
      <c r="D8" s="2" t="inlineStr">
        <is>
          <t>Christian Anton</t>
        </is>
      </c>
      <c r="E8" s="2" t="inlineStr">
        <is>
          <t>President</t>
        </is>
      </c>
      <c r="F8" s="2" t="inlineStr">
        <is>
          <t>(754) 205-5510</t>
        </is>
      </c>
      <c r="G8" s="2" t="inlineStr">
        <is>
          <t>(561) 790-5910 (West Palm Beach location, Yelp); 754-205-7394 shown on Buzzfile listing; fax 754-205-5698</t>
        </is>
      </c>
      <c r="H8" s="2" t="inlineStr">
        <is>
          <t>Fort Lauderdale (corporate office Pompano Beach)</t>
        </is>
      </c>
      <c r="I8" s="2" t="inlineStr">
        <is>
          <t>Broward</t>
        </is>
      </c>
      <c r="J8" s="2" t="inlineStr">
        <is>
          <t>Operations Audit &amp; Strategic Roadmap</t>
        </is>
      </c>
      <c r="K8" s="2" t="inlineStr">
        <is>
          <t>Christian, Comfort Zone is running out of two offices now - Fort Lauderdale/Pompano and West Palm - and covering four counties, which is exactly where dispatch, permits and inventory start slipping between locations. I rebuilt a three-company HVAC merger in Pompano (FMBS) into one operation with the right manager over each piece, and they hit their 5-year numbers in 2 years.</t>
        </is>
      </c>
      <c r="L8" s="2" t="inlineStr">
        <is>
          <t>(1) Three different phone numbers circulating: 754-205-5510 (main), 754-205-7394 (Buzzfile) and 561-790-5910 (WPB) - likely tracking numbers / inconsistent listings. (2) Three different addresses across BBB, Sunbiz and Yelp. (3) A+ BBB rating but not BBB accredited. (4) Dozens of agency-style 'near-me' SEO landing pages (Lighthouse Point, Parkland, Delray, Boynton, Palm Beach Gardens, Florida Ridge, Winter Beach) - site appears agency-run. (5) Conflicting founding claims (2007 / 2011 / '20+ years'). Website basics (license, booking, maintenance contracts) are already covered, so the gap is multi-location operations rather than marketing.</t>
        </is>
      </c>
      <c r="M8" s="2" t="inlineStr">
        <is>
          <t>Phone: confirmed | Owner: confirmed (BBB + LinkedIn + ZoomInfo) | Independent: Confirmed owner-led and independent on available evidence: Sunbiz P11000048001 incorporated 5/20/2011, BBB business start 12/6/2011, same president since; no PE, consolidator, or franchise language. Caution: several unrelated 'Comfort Zone' HVAC brands show up in searches (Comfort Zone of North Florida, comfortzonecfl.com, Comfort Zone Heating &amp; Cooling NJ, Comfort Zone HVAC comfortzonepros.com, 'Comfort Zone' Riviera Beach est. 1976) — none is this company; do not conflate. Dedicated 'acquired'/'partners with' searches could not be run (budget exhausted).</t>
        </is>
      </c>
      <c r="N8" s="2" t="inlineStr">
        <is>
          <t>Yes - CareerSource Broward (90%)</t>
        </is>
      </c>
      <c r="O8" s="2" t="inlineStr">
        <is>
          <t>Est. 15-40 employees / 8-20 trucks: two offices (Fort Lauderdale/Pompano Beach and West Palm Beach), four-county footprint, 161 Yelp and 361 experience.com reviews; ZoomInfo lists 1-10 at the corporate office, which looks like an undercount</t>
        </is>
      </c>
      <c r="P8" s="2" t="inlineStr">
        <is>
          <t>Incorporated 5/20/2011, business started 12/6/2011 (BBB); site claims 15-20+ years of experience; one directory says established 2007</t>
        </is>
      </c>
      <c r="Q8" s="2" t="inlineStr">
        <is>
          <t>https://www.czairconditioning.com/</t>
        </is>
      </c>
      <c r="R8" s="2" t="inlineStr"/>
      <c r="S8" s="2" t="inlineStr">
        <is>
          <t>6750 N Andrews Ave, Suite 200, Fort Lauderdale, FL 33309 (BBB / Yellow Pages); corporate office per Sunbiz filing and experience.com: 1389 SW 12th Ave, Pompano Beach, FL 33069; second location: 13928 87th St N, West Palm Beach, FL 33412</t>
        </is>
      </c>
      <c r="T8" s="2" t="inlineStr">
        <is>
          <t>Not captured for Google; Yelp shows 161 reviews; experience.com shows 4.74 stars from 361 verified reviews</t>
        </is>
      </c>
      <c r="U8" s="2" t="inlineStr"/>
      <c r="V8" s="2" t="inlineStr">
        <is>
          <t>Yes - site promotes 'Book Your Appointment Online' (platform not identified)</t>
        </is>
      </c>
      <c r="W8" s="2" t="inlineStr">
        <is>
          <t>Yes - CAC1816990 appears in site content (Florida DBPR license active)</t>
        </is>
      </c>
      <c r="X8" s="2" t="inlineStr">
        <is>
          <t>Not found in search results</t>
        </is>
      </c>
      <c r="Y8" s="2" t="inlineStr">
        <is>
          <t>BBB A+ (not accredited); BBB 'years in business 14'; one directory says 'established 2007' vs 2011 incorporation. License CAC1816990 shown on site. Online booking exists ('Book Your Appointment Online'); quarterly maintenance contracts; heater/furnace maintenance page; veteran/first-responder discounts. Reputation: Yelp Fort Lauderdale 161 reviews / 282 photos (separate WPB Yelp page), experience.com 4.74 from 361 verified reviews, Angi listings under Pompano Beach. ZoomInfo shows 1-10 employees at the corporate office — likely an undercount for a two-office, four-plus-county operation. No Fort Lauderdale-specific hiring found (job hits were other Comfort Zone brands). Site is agency-built with many 'near-me' city pages. Three phone numbers in circulation (tracking-number pattern).</t>
        </is>
      </c>
      <c r="Z8" s="3" t="inlineStr"/>
      <c r="AA8" s="3" t="inlineStr"/>
      <c r="AB8" s="3" t="inlineStr"/>
      <c r="AC8" s="3" t="inlineStr"/>
      <c r="AD8" s="3" t="inlineStr"/>
    </row>
    <row r="9">
      <c r="A9" s="2" t="n">
        <v>8</v>
      </c>
      <c r="B9" s="2" t="inlineStr">
        <is>
          <t>A</t>
        </is>
      </c>
      <c r="C9" s="2" t="inlineStr">
        <is>
          <t>Cool Air ASAP (GAD AC Services LLC)</t>
        </is>
      </c>
      <c r="D9" s="2" t="inlineStr">
        <is>
          <t>David Lankri</t>
        </is>
      </c>
      <c r="E9" s="2" t="inlineStr">
        <is>
          <t>Manager (BBB principal)</t>
        </is>
      </c>
      <c r="F9" s="2" t="inlineStr">
        <is>
          <t>(754) 304-3489</t>
        </is>
      </c>
      <c r="G9" s="2" t="inlineStr">
        <is>
          <t>(754) 332-2930 (number shown on Yelp listing; differs from website)</t>
        </is>
      </c>
      <c r="H9" s="2" t="inlineStr">
        <is>
          <t>Lauderhill</t>
        </is>
      </c>
      <c r="I9" s="2" t="inlineStr">
        <is>
          <t>Broward</t>
        </is>
      </c>
      <c r="J9" s="2" t="inlineStr">
        <is>
          <t>Marketing &amp; Website Makeover</t>
        </is>
      </c>
      <c r="K9" s="2" t="inlineStr">
        <is>
          <t>David, Cool Air ASAP is advertising two different phone numbers - 754-304-3489 on your site and 754-332-2930 on Yelp - and there are three clone copies of your website sitting on netlify and vercel, which usually means an SEO agency is billing you for churn while leads leak. I rebuilt the lead-capture and booking side for a three-shop HVAC merger in Pompano (FMBS) so every call landed in one system; happy to show you what that looked like.</t>
        </is>
      </c>
      <c r="L9" s="2" t="inlineStr">
        <is>
          <t>(1) Two different public phone numbers: 754-304-3489 on website vs 754-332-2930 on Yelp - tracking-number / agency fingerprint. (2) Business email is a Gmail address (Gadacllc@gmail.com). (3) 'Book online' claim but no real scheduling widget visible. (4) Three duplicate SEO microsites on free hosts plus syndicated press release - paying an agency for churn. (5) Hours Mon-Sat 8-5 with no after-hours answering despite advertising 24/7 emergency. (6) Name confusion with larger, older competitor Cool Air USA (also Lauderhill, since 2008) - search results for 'Cool Air ASAP owner/BBB' mostly return Cool Air USA.</t>
        </is>
      </c>
      <c r="M9" s="2" t="inlineStr">
        <is>
          <t>Phone: confirmed | Owner: confirmed | Independent: confirmed - LLC incorporated 6/8/2018, business started 5/13/2019 (BBB), alternate name GAD AC Services LLC, email Gadacllc@gmail.com, license CAC1819982; no acquisition, partnership, PE or franchise hits. A 2026 'Cool Air ASAP Expands Emergency HVAC Services' article is a self-issued press release, not M&amp;A</t>
        </is>
      </c>
      <c r="N9" s="2" t="inlineStr">
        <is>
          <t>Yes - CareerSource Broward (90%)</t>
        </is>
      </c>
      <c r="O9" s="2" t="inlineStr">
        <is>
          <t>Roughly 5-15 people / 3-6 trucks (storefront on Sunrise Blvd, two managers, 282 reviews in ~6 years) - not confirmed</t>
        </is>
      </c>
      <c r="P9" s="2" t="inlineStr">
        <is>
          <t>2019 (BBB: business started 5/13/2019; LLC incorporated 6/8/2018)</t>
        </is>
      </c>
      <c r="Q9" s="2" t="inlineStr">
        <is>
          <t>https://coolairasap.com/</t>
        </is>
      </c>
      <c r="R9" s="2" t="inlineStr">
        <is>
          <t>Gadacllc@gmail.com</t>
        </is>
      </c>
      <c r="S9" s="2" t="inlineStr">
        <is>
          <t>3521 W Sunrise Blvd, Lauderhill, FL 33311</t>
        </is>
      </c>
      <c r="T9" s="2" t="inlineStr">
        <is>
          <t>4.9 (per directory listing; not pulled from Google directly) / 282 (per hvac-usa.nears.me directory listing)</t>
        </is>
      </c>
      <c r="U9" s="2" t="inlineStr">
        <is>
          <t>None visible. Three cloned SEO microsites (cool-air-asap.netlify.app, cool-air-asap.vercel.app, cool-air-asap.pages.dev) plus a syndicated press release indicate an active SEO agency</t>
        </is>
      </c>
      <c r="V9" s="2" t="inlineStr">
        <is>
          <t>Site copy says 'call or book online' but no scheduling software (Housecall Pro / Jobber / ServiceTitan) link visible in snippets</t>
        </is>
      </c>
      <c r="W9" s="2" t="inlineStr">
        <is>
          <t>Yes - CAC1819982 shown on website</t>
        </is>
      </c>
      <c r="X9" s="2" t="inlineStr">
        <is>
          <t>Not seen</t>
        </is>
      </c>
      <c r="Y9" s="2" t="inlineStr">
        <is>
          <t>Do NOT confuse with Cool Air USA, Inc. (Kevin Dean Foster, 3901 NW 16th St, Lauderhill, CAC053230, Yelp 3.5) - a different, older company in the same city that dominates search results. Google 4.9 with 282 reviews; BBB A+ per one snippet. Sells maintenance plans at $159/$199/$279 per year and has online booking (so the 'no booking' angle does not apply). Location pages for Oakland Park, Wilton Manors, Sunrise, Davie; a staging copy of the site exists at cool-air-asap.pages.dev (DIY/agency web work). 'Family-owned' and '20+ years experience' claims come only from the company's own copy. Verification basis: cached BBB, Yelp, Angi, BuildZoom, DBPR and company-contact snippets; no live lookups possible.</t>
        </is>
      </c>
      <c r="Z9" s="3" t="inlineStr"/>
      <c r="AA9" s="3" t="inlineStr"/>
      <c r="AB9" s="3" t="inlineStr"/>
      <c r="AC9" s="3" t="inlineStr"/>
      <c r="AD9" s="3" t="inlineStr"/>
    </row>
    <row r="10">
      <c r="A10" s="2" t="n">
        <v>9</v>
      </c>
      <c r="B10" s="2" t="inlineStr">
        <is>
          <t>A</t>
        </is>
      </c>
      <c r="C10" s="2" t="inlineStr">
        <is>
          <t>East Coast Services Inc</t>
        </is>
      </c>
      <c r="D10" s="2" t="inlineStr">
        <is>
          <t>Lisa Jacmacjian</t>
        </is>
      </c>
      <c r="E10" s="2" t="inlineStr">
        <is>
          <t>President</t>
        </is>
      </c>
      <c r="F10" s="2" t="inlineStr">
        <is>
          <t>(954) 941-7822</t>
        </is>
      </c>
      <c r="G10" s="2" t="inlineStr">
        <is>
          <t>(888) 482-2352 (toll-free second number)</t>
        </is>
      </c>
      <c r="H10" s="2" t="inlineStr">
        <is>
          <t>Pompano Beach</t>
        </is>
      </c>
      <c r="I10" s="2" t="inlineStr">
        <is>
          <t>Broward</t>
        </is>
      </c>
      <c r="J10" s="2" t="inlineStr">
        <is>
          <t>Marketing &amp; Website Makeover</t>
        </is>
      </c>
      <c r="K10" s="2" t="inlineStr">
        <is>
          <t>Lisa, your website is still the old page-per-city .html build, and Yelp shows 13 reviews while your Birdeye page holds 380, so the proof your crew has earned since 1981 isn't where Pompano homeowners look. Putting those reviews, a book-online button and CAC1820140 up front is a short job; I did the same rebuild for a three-company shop in Pompano (FMBS) that hit its 5-year numbers in 2.</t>
        </is>
      </c>
      <c r="L10" s="2" t="inlineStr">
        <is>
          <t>Dated page-per-city .html website (ac-repair-pompano-beach.html, hvac-service-broward-county.html); toll-free second phone number alongside the 954 line; only 13 Yelp reviews while 380 sit on Birdeye (proof not reaching public profiles); Yelp listing shows a Boca Raton address (1101 S Rogers Cir) while site/directories show Pompano Beach (inconsistent listing data, or an unadvertised second location); no online booking or maintenance-plan page seen in snippets</t>
        </is>
      </c>
      <c r="M10" s="2" t="inlineStr">
        <is>
          <t>Phone: confirmed | Owner: confirmed, single directory source (not BBB/DBPR) | Independent: Family owned and operated since 1981 per directories and site; no acquisition, PE, consolidator or franchise language found. Name-collision caution: 'East Coast Air Conditioning &amp; Refrigeration, Inc.' (Plantation) and other 'East Coast' HVAC names are unrelated and appear in the same searches. Dedicated 'acquired'/'partners with' searches could not be run (budget exhausted).</t>
        </is>
      </c>
      <c r="N10" s="2" t="inlineStr">
        <is>
          <t>Yes - CareerSource Broward (90%)</t>
        </is>
      </c>
      <c r="O10" s="2" t="inlineStr">
        <is>
          <t>Est. 10-25 employees: 45-year two-county residential + commercial shop with 380 Birdeye reviews; headcount not published in snippets</t>
        </is>
      </c>
      <c r="P10" s="2" t="inlineStr">
        <is>
          <t>1981</t>
        </is>
      </c>
      <c r="Q10" s="2" t="inlineStr">
        <is>
          <t>https://eastcoastservicesinc.net</t>
        </is>
      </c>
      <c r="R10" s="2" t="inlineStr"/>
      <c r="S10" s="2" t="inlineStr">
        <is>
          <t>1105 S Dixie Hwy E, Pompano Beach, FL 33060</t>
        </is>
      </c>
      <c r="T10" s="2" t="inlineStr">
        <is>
          <t>Not visible in snippets; Yelp 13 reviews, Birdeye 380 reviews</t>
        </is>
      </c>
      <c r="U10" s="2" t="inlineStr">
        <is>
          <t>Birdeye review platform (380 reviews on Birdeye profile); no field-service software visible in snippets</t>
        </is>
      </c>
      <c r="V10" s="2" t="inlineStr">
        <is>
          <t>Not seen in search snippets (site could not be fetched to confirm a booking widget or maintenance-plan page)</t>
        </is>
      </c>
      <c r="W10" s="2" t="inlineStr">
        <is>
          <t>Yes - CAC1820140 appears in site snippets</t>
        </is>
      </c>
      <c r="X10" s="2" t="inlineStr">
        <is>
          <t>Not seen</t>
        </is>
      </c>
      <c r="Y10" s="2" t="inlineStr">
        <is>
          <t>Reputation: Birdeye 380 reviews (large base), Yelp 13. Licensed CAC1820140; serves Broward and Palm Beach counties (Fort Lauderdale, Deerfield, Boca, Boynton, Coconut Creek pages). Website is a dated static .html site (eastcoastservicesinc.net/ac-repair/ac-repair-pompano-beach.html) with city SEO pages; toll-free second number is an older marketing setup. Listed on Nextdoor (two pages), EZlocal, Manta, Yellow Pages. No hiring signals. The Yelp Boca Raton address is the one item to clear before quoting the Pompano address back to them.</t>
        </is>
      </c>
      <c r="Z10" s="3" t="inlineStr"/>
      <c r="AA10" s="3" t="inlineStr"/>
      <c r="AB10" s="3" t="inlineStr"/>
      <c r="AC10" s="3" t="inlineStr"/>
      <c r="AD10" s="3" t="inlineStr"/>
    </row>
    <row r="11">
      <c r="A11" s="2" t="n">
        <v>10</v>
      </c>
      <c r="B11" s="2" t="inlineStr">
        <is>
          <t>A</t>
        </is>
      </c>
      <c r="C11" s="2" t="inlineStr">
        <is>
          <t>Ideal Air Systems Inc</t>
        </is>
      </c>
      <c r="D11" s="2" t="inlineStr">
        <is>
          <t>Courtney Shipley</t>
        </is>
      </c>
      <c r="E11" s="2" t="inlineStr">
        <is>
          <t>President / Owner (BBB: Mr. Courtney Shipley, Owner; DBPR: Courtney Lester Shipley, Construction Financial Officer)</t>
        </is>
      </c>
      <c r="F11" s="2" t="inlineStr">
        <is>
          <t>(954) 426-2645</t>
        </is>
      </c>
      <c r="G11" s="2" t="inlineStr"/>
      <c r="H11" s="2" t="inlineStr">
        <is>
          <t>Deerfield Beach</t>
        </is>
      </c>
      <c r="I11" s="2" t="inlineStr">
        <is>
          <t>Broward</t>
        </is>
      </c>
      <c r="J11" s="2" t="inlineStr">
        <is>
          <t>Marketing &amp; Website Makeover</t>
        </is>
      </c>
      <c r="K11" s="2" t="inlineStr">
        <is>
          <t>Courtney, your site still loads as plain http with no padlock, and after 35 years you're showing 23 Google reviews, so homeowners on their phone bounce to the shop with 400. I rebuild sites for shops like yours with your license number, a booking button, a maintenance-plan page and a review engine that pulls the reviews you've already earned onto the page.</t>
        </is>
      </c>
      <c r="L11" s="2" t="inlineStr">
        <is>
          <t>(1) Website still plain http, no SSL padlock, dated page structure. (2) Only 23 Google reviews after 35 years; Yelp 1.0 on 2 reviews with no apparent response. (3) No online booking, no maintenance-plan page seen. (4) No CAC license number visible in site snippets. (5) Two different street addresses in public listings (590 vs 231 Goolsby Blvd). (6) bellsouth.net-style email suggests no company domain email in use. (7) Generator division already added, a second line of business running on the same thin systems</t>
        </is>
      </c>
      <c r="M11" s="2" t="inlineStr">
        <is>
          <t>Phone: confirmed | Owner: confirmed (BBB + DBPR + ZoomInfo + LinkedIn) | Independent: Confirmed family-owned since 1991 on available evidence; founder-led; no acquisition, PE, consolidator or franchise language found. Not BBB-accredited. Dedicated 'acquired'/'partners with' searches could not be run (budget exhausted).</t>
        </is>
      </c>
      <c r="N11" s="2" t="inlineStr">
        <is>
          <t>Yes - CareerSource Broward (90%)</t>
        </is>
      </c>
      <c r="O11" s="2" t="inlineStr">
        <is>
          <t>Roughly 4-15 employees (sources range 4-15; ZoomInfo band 11-50). Likely 3-6 trucks</t>
        </is>
      </c>
      <c r="P11" s="2" t="inlineStr">
        <is>
          <t>1991 (BBB business start 1/1/1991; founder started 'with $300 and a pickup truck' ~33-35 years ago)</t>
        </is>
      </c>
      <c r="Q11" s="2" t="inlineStr">
        <is>
          <t>http://idealairsystems.com/</t>
        </is>
      </c>
      <c r="R11" s="2" t="inlineStr">
        <is>
          <t>idealair@bellsouth... (truncated in LinkedIn headline snippet; likely bellsouth.net, verify before using)</t>
        </is>
      </c>
      <c r="S11" s="2" t="inlineStr">
        <is>
          <t>590 Goolsby Blvd, Deerfield Beach, FL 33442 (site/ZoomInfo/Procore). BBB and Yelp list 231 Goolsby Blvd, Deerfield Beach, FL 33442/33443; confirm which is current</t>
        </is>
      </c>
      <c r="T11" s="2" t="inlineStr">
        <is>
          <t>4.3 (23 reviews, per aggregator); Birdeye 4.4 (25); Angi 4.8 (6); Porch 3.93 (15); Yelp 1.0 (2); BBB A+ (not accredited) / 23</t>
        </is>
      </c>
      <c r="U11" s="2" t="inlineStr">
        <is>
          <t>Birdeye review profile exists (25 reviews), so a review tool was set up at some point; no field-service software detected</t>
        </is>
      </c>
      <c r="V11" s="2" t="inlineStr">
        <is>
          <t>None seen. Site is plain http (no SSL) with old-style pages (/about-us, /brands, /generators); no booking widget or field-service software URL found; no maintenance-plan page seen</t>
        </is>
      </c>
      <c r="W11" s="2" t="inlineStr">
        <is>
          <t>Not seen in snippets. DBPR shows Courtney Lester Shipley holding a Construction Financial Officer license for Ideal Air Systems; the qualifying CAC holder/number was not visible</t>
        </is>
      </c>
      <c r="X11" s="2" t="inlineStr">
        <is>
          <t>Not seen</t>
        </is>
      </c>
      <c r="Y11" s="2" t="inlineStr">
        <is>
          <t>BBB A+ (not accredited), business started 1/1/1991, file opened 4/28/1998, 35 years. Reviews are mixed and thin: Yelp 1.0 (2 reviews), Angi 4.8 (6), Birdeye 4.4 (25), Google-type 4.3 (23), Porch 3.93 (15); BuildZoom score 110 (top 4% of FL licensed contractors). Employee count varies 4-15 across sources. Services: residential + commercial HVAC, Generac standby generators (factory-trained), ducts, financing. Website is plain http (no SSL), Yellow Pages also lists it as 'Ideal A/C Systems'; LinkedIn shows a bellsouth.net email — dated tooling. Founder story: started 33 years ago with $300 and a pickup truck. No hiring signals.</t>
        </is>
      </c>
      <c r="Z11" s="3" t="inlineStr"/>
      <c r="AA11" s="3" t="inlineStr"/>
      <c r="AB11" s="3" t="inlineStr"/>
      <c r="AC11" s="3" t="inlineStr"/>
      <c r="AD11" s="3" t="inlineStr"/>
    </row>
    <row r="12">
      <c r="A12" s="2" t="n">
        <v>11</v>
      </c>
      <c r="B12" s="2" t="inlineStr">
        <is>
          <t>A</t>
        </is>
      </c>
      <c r="C12" s="2" t="inlineStr">
        <is>
          <t>Khoolex Air Conditioning (KHOOLEX LLC)</t>
        </is>
      </c>
      <c r="D12" s="2" t="inlineStr">
        <is>
          <t>Gustavo Ariel Arganaraz</t>
        </is>
      </c>
      <c r="E12" s="2" t="inlineStr">
        <is>
          <t>Owner / Managing Owner (personally holds CAC1819348)</t>
        </is>
      </c>
      <c r="F12" s="2" t="inlineStr">
        <is>
          <t>(954) 708-9102</t>
        </is>
      </c>
      <c r="G12" s="2" t="inlineStr"/>
      <c r="H12" s="2" t="inlineStr">
        <is>
          <t>Hollywood</t>
        </is>
      </c>
      <c r="I12" s="2" t="inlineStr">
        <is>
          <t>Broward</t>
        </is>
      </c>
      <c r="J12" s="2" t="inlineStr">
        <is>
          <t>Systems + AI Enablement</t>
        </is>
      </c>
      <c r="K12" s="2" t="inlineStr">
        <is>
          <t>Gustavo, Khoolex has 446 five-star reviews and a 4.9 on Yelp, yet you're still booking through a contact form, running vendors through a Gmail address, and holding the license yourself from the house on 57th Terrace. When I rebuilt the three-shop HVAC merger in Pompano (FMBS) the first thing we did was get the owner out of dispatch with a proper booking, PO and inventory setup - that's the piece you're missing.</t>
        </is>
      </c>
      <c r="L12" s="2" t="inlineStr">
        <is>
          <t>(1) Home-based office on a residential street with 446 five-star reviews - demand has outgrown the back office. (2) No online booking, contact form only. (3) Owner personally holds the license and is 'Managing Owner' - he is qualifier, sales and dispatch. (4) Separate Gmail address for vendors (Khoolex4vendors@gmail.com) - no purchase-order or inventory system. (5) No careers page despite strong demand. (6) BBB A+ but not accredited.</t>
        </is>
      </c>
      <c r="M12" s="2" t="inlineStr">
        <is>
          <t>Phone: confirmed | Owner: confirmed (3 independent sources) | Independent: Confirmed independent on available evidence: single-owner LLC (Sunbiz L18000033099, formed 2018), owner is license qualifier, 1-10 employees; no acquisition, PE, consolidator or franchise language in any snippet. Caveat: dedicated '&lt;company&gt; acquired' / 'partners with' searches could not be run (session WebSearch budget exhausted); independence rests on absence of contrary evidence.</t>
        </is>
      </c>
      <c r="N12" s="2" t="inlineStr">
        <is>
          <t>Yes - CareerSource Broward (90%)</t>
        </is>
      </c>
      <c r="O12" s="2" t="inlineStr">
        <is>
          <t>1-10 employees (ZoomInfo); likely 3-8 given 446 reviews</t>
        </is>
      </c>
      <c r="P12" s="2" t="inlineStr">
        <is>
          <t>2018 (LLC L18000033099; BBB business start 3/5/2018)</t>
        </is>
      </c>
      <c r="Q12" s="2" t="inlineStr">
        <is>
          <t>https://khoolexac.com/</t>
        </is>
      </c>
      <c r="R12" s="2" t="inlineStr">
        <is>
          <t>info@KhoolexAC.com (vendors: Khoolex4vendors@gmail.com)</t>
        </is>
      </c>
      <c r="S12" s="2" t="inlineStr">
        <is>
          <t>2210 N 57th Ter, Hollywood, FL 33021 (residential address - home-based office)</t>
        </is>
      </c>
      <c r="T12" s="2" t="inlineStr">
        <is>
          <t>5.0 (per NiceJob aggregate) / Not isolated; NiceJob aggregate 446 reviews at 5.0 across Google/Yelp/Facebook; Yelp 120 reviews at 4.9</t>
        </is>
      </c>
      <c r="U12" s="2" t="inlineStr">
        <is>
          <t>NiceJob (review-request engine, active)</t>
        </is>
      </c>
      <c r="V12" s="2" t="inlineStr">
        <is>
          <t>No - site says to schedule service using the contact form</t>
        </is>
      </c>
      <c r="W12" s="2" t="inlineStr">
        <is>
          <t>Likely - CAC1819348 appears in BBB, DBPR and NiceJob listings for the company; not confirmed in website snippet</t>
        </is>
      </c>
      <c r="X12" s="2" t="inlineStr">
        <is>
          <t>Not seen</t>
        </is>
      </c>
      <c r="Y12" s="2" t="inlineStr">
        <is>
          <t>METHOD NOTE (applies to all 8 records): verification used cached WebSearch result snippets (BBB, Yelp, DBPR, ZoomInfo, Sunbiz, directories) gathered earlier this session; live WebSearch budget is exhausted, WebFetch is egress-blocked, and Apollo people search is not on this account's plan. KHOOLEX: BBB business start 3/5/2018, file opened 10/10/2018, A+ but NOT accredited, LLC; marketing claims '15+ years experience' (owner's personal experience, not the entity). Reputation: Yelp 4.9-5.0 with 120 reviews; NiceJob aggregate 446 reviews at 5.0 (Google/Yelp/Facebook). No online booking (contact form only); vendor email is a Gmail address (Khoolex4vendors@gmail.com); 'Comfort Club' maintenance memberships (2 or 3 visits/yr). Active Facebook/Instagram/Nextdoor. No hiring signals. Appears in Yelp top-10 lists for Hollywood, Davie, Weston, Plantation, Hallandale — strong demand footprint for a home-based 1-10 person shop.</t>
        </is>
      </c>
      <c r="Z12" s="3" t="inlineStr"/>
      <c r="AA12" s="3" t="inlineStr"/>
      <c r="AB12" s="3" t="inlineStr"/>
      <c r="AC12" s="3" t="inlineStr"/>
      <c r="AD12" s="3" t="inlineStr"/>
    </row>
    <row r="13">
      <c r="A13" s="2" t="n">
        <v>12</v>
      </c>
      <c r="B13" s="2" t="inlineStr">
        <is>
          <t>A</t>
        </is>
      </c>
      <c r="C13" s="2" t="inlineStr">
        <is>
          <t>Natal Air Conditioning USA LLC</t>
        </is>
      </c>
      <c r="D13" s="2" t="inlineStr">
        <is>
          <t>Squib Schreiber</t>
        </is>
      </c>
      <c r="E13" s="2" t="inlineStr">
        <is>
          <t>President &amp; CEO / Managing Member</t>
        </is>
      </c>
      <c r="F13" s="2" t="inlineStr">
        <is>
          <t>(954) 788-0099</t>
        </is>
      </c>
      <c r="G13" s="2" t="inlineStr"/>
      <c r="H13" s="2" t="inlineStr">
        <is>
          <t>Pompano Beach</t>
        </is>
      </c>
      <c r="I13" s="2" t="inlineStr">
        <is>
          <t>Broward</t>
        </is>
      </c>
      <c r="J13" s="2" t="inlineStr">
        <is>
          <t>Operations Audit &amp; Strategic Roadmap (with Systems + AI Enablement for inventory/POs as the follow-on)</t>
        </is>
      </c>
      <c r="K13" s="2" t="inlineStr">
        <is>
          <t>Squib, you've got a warehouse coordinator, an office admin, an install lead and service techs all posted at once, and that's the exact point where the owner can't hold the whole shop in his head anymore. I did this for a three-company HVAC merger a few blocks from you on Dixie: put the right managers over the right pieces, built the booking, permit and inventory systems, and they hit their 5-year numbers in two.</t>
        </is>
      </c>
      <c r="L13" s="2" t="inlineStr">
        <is>
          <t>(1) Hiring a warehouse coordinator, office admin, install lead and service techs at the same time = scaling faster than the office systems. (2) Yelp 3.3 on 20 reviews vs 4.7 elsewhere = no review-response/review-request discipline. (3) Three founding dates (1988/1997/2009) and two legal entities using the Natal name (Natal Air Conditioning Inc and Natal Air Conditioning USA LLC, plus Special Cables America DBA) = recent restructure, not fully cleaned up in public records. (4) DBPR snippet shows the CAC expiring 8/31/2026, confirm renewal. (5) License number not visible in site snippets. NOTE: the seed's 'Cousin's Air at 503 S Dixie with the same phone' did NOT verify: Cousin's Air Inc's BBB shows 3300 SW 15th St, Deerfield Beach, started 1995, principals James Brescia (Pres), John Brescia (VP), Alyson Cousins (Office Mgr). Treat the merger angle as unconfirmed; the restructure/two-entity angle is the real one</t>
        </is>
      </c>
      <c r="M13" s="2" t="inlineStr">
        <is>
          <t>Phone: confirmed | Owner: confirmed (BBB + ZoomInfo + DBPR) | Independent: Family-owned (Schreiber family), not PE/franchise on available evidence — BUT one anomaly to clear on the call: the BBB 'accredited AC contractors near Pompano Beach' page lists 'Cousin's Air, Inc.' at 503 S Dixie Hwy E, Pompano Beach with the SAME phone (954) 788-0099. Cousin's Air's own BBB profile is Deerfield Beach (3300 SW 15th St, President James Brescia, phones 954-228-5965 / 954-596-6999), and a search pairing the two names found no link, so this is most likely a BBB directory data error rather than a merger — ask directly. Dedicated 'acquired'/'partners with' searches could not be run (budget exhausted).</t>
        </is>
      </c>
      <c r="N13" s="2" t="inlineStr">
        <is>
          <t>Yes - CareerSource Broward (90%)</t>
        </is>
      </c>
      <c r="O13" s="2" t="inlineStr">
        <is>
          <t>~15 employees (ZoomInfo), est. revenue $6.4M; other sources show 11-50 band. Roughly 8-12 trucks</t>
        </is>
      </c>
      <c r="P13" s="2" t="inlineStr">
        <is>
          <t>Conflicting: website says 'since 1988'; BBB 'Business Started 10/10/1997', BBB file opened 2002, BBB accredited 1/6/2012; current LLC filing number L09000099671 implies the LLC itself was formed ~2009</t>
        </is>
      </c>
      <c r="Q13" s="2" t="inlineStr">
        <is>
          <t>https://www.coolairflorida.com/</t>
        </is>
      </c>
      <c r="R13" s="2" t="inlineStr"/>
      <c r="S13" s="2" t="inlineStr">
        <is>
          <t>501 S Dixie Hwy E, Pompano Beach, FL 33060 (BBB also lists mailing PO Box 1420, Pompano Beach, FL 33061-1420)</t>
        </is>
      </c>
      <c r="T13" s="2" t="inlineStr">
        <is>
          <t>4.7 (shown on the site's survey page; platform not confirmed as Google). Yelp 3.3; Facebook 92% recommend (9); BBB A+ / 242 (per site survey widget); Yelp 20</t>
        </is>
      </c>
      <c r="U13" s="2" t="inlineStr">
        <is>
          <t>Not identified. Site uses a service-request form plus a survey/review-us page (vendor unknown)</t>
        </is>
      </c>
      <c r="V13" s="2" t="inlineStr">
        <is>
          <t>Site has 'Schedule Service' buttons and 'schedule a service request online' (looks like a web form; no Housecall Pro/Jobber/ServiceTitan URL seen). Maintenance-plan page exists (/ac-maintenance/). Reviews/testimonials and a survey page are on the site</t>
        </is>
      </c>
      <c r="W13" s="2" t="inlineStr">
        <is>
          <t>Not seen in site snippets. DBPR shows CAC057413 (qualifier Gary Wilfred Schreiber) with an expiration date of 8/31/2026 in the snippet; today is 10/3/2026 so confirm renewal on the call. DBPR also shows a second entity, 'Special Cables America, Inc. DBA Natal Air Conditioning USA'</t>
        </is>
      </c>
      <c r="X13" s="2" t="inlineStr">
        <is>
          <t>Yes, multiple open roles: HVAC Service Technician ($25-30/hr + commission), HVAC Installer, HVAC Change Out Lead, Warehouse Coordinator (inventory/deliveries/orders), Office Assistant/HVAC Office Administrator ($20-24/hr); careers page says 'growing team'</t>
        </is>
      </c>
      <c r="Y13" s="2" t="inlineStr">
        <is>
          <t>BBB A+, accredited since 1/6/2012; BBB 'Business Started 10/10/1997' vs website/Facebook 'since 1988' vs one snippet 'since 2012' — founding date is inconsistent across sources. Current LLC filing L09000099671 (~2009); DBPR also shows a separate registrant 'SPECIAL CABLES AMERICA, INC. DBA NATAL AIR CONDITIONING USA' and D&amp;B/LinkedIn show an older 'Natal Air Conditioning, Inc.' — multiple legal entities use the trade name. DBPR snippet shows CAC057413 expiring 8/31/2026 (today is 10/3/2026) — confirm renewal. Size: ZoomInfo 15 employees (other sources 11-50), revenue est. $6.4M. Reviews: Yelp 3.3 (20 reviews, weak); site survey widget 4.7 from 242; Facebook 92% recommend (9). HIRING NOW: HVAC Service Technician ($25-30/hr + commission), HVAC Installer, HVAC Change Out Lead, Warehouse Coordinator, Office Assistant/HVAC Office Administrator ($20-24/hr) via jobtarget/Glassdoor/Indeed; careers page says 'growing team'. Two web domains (coolairflorida.com and natalsairconditioning.com). Online 'Schedule Service' form and maintenance plans exist.</t>
        </is>
      </c>
      <c r="Z13" s="3" t="inlineStr"/>
      <c r="AA13" s="3" t="inlineStr"/>
      <c r="AB13" s="3" t="inlineStr"/>
      <c r="AC13" s="3" t="inlineStr"/>
      <c r="AD13" s="3" t="inlineStr"/>
    </row>
    <row r="14">
      <c r="A14" s="2" t="n">
        <v>13</v>
      </c>
      <c r="B14" s="2" t="inlineStr">
        <is>
          <t>A</t>
        </is>
      </c>
      <c r="C14" s="2" t="inlineStr">
        <is>
          <t>Pembroke Pines Air Conditioning</t>
        </is>
      </c>
      <c r="D14" s="2" t="inlineStr">
        <is>
          <t>Richard Valdes</t>
        </is>
      </c>
      <c r="E14" s="2" t="inlineStr">
        <is>
          <t>President</t>
        </is>
      </c>
      <c r="F14" s="2" t="inlineStr">
        <is>
          <t>(954) 450-8448</t>
        </is>
      </c>
      <c r="G14" s="2" t="inlineStr">
        <is>
          <t>(954) 517-1990 (shown with pembrokepinesair.com in directories); (305) 628-1133 also listed on BlueBook</t>
        </is>
      </c>
      <c r="H14" s="2" t="inlineStr">
        <is>
          <t>Miramar</t>
        </is>
      </c>
      <c r="I14" s="2" t="inlineStr">
        <is>
          <t>Broward</t>
        </is>
      </c>
      <c r="J14" s="2" t="inlineStr">
        <is>
          <t>Operations Audit &amp; Strategic Roadmap</t>
        </is>
      </c>
      <c r="K14" s="2" t="inlineStr">
        <is>
          <t>Richard, you're hiring right now and you've got three phone numbers and three websites pointing at one shop in Miramar - every new hire inherits that mess. Ann straightened out exactly that for a three-company HVAC merger in Pompano: one booking system, the right manager over each division, and they hit their five-year goals in two.</t>
        </is>
      </c>
      <c r="L14" s="2" t="inlineStr">
        <is>
          <t>Three different phone numbers across listings (954-450-8448, 954-517-1990, 305-628-1133) - tracking/inconsistent NAP; at least three domains and microsites for one shop; founding year listed five different ways (1983/1992/1994/1996/1998); no Google rating surfaced in any snippet (Yelp 4.6 / 44 is the visible review footprint); no BBB profile; unfinished '/blank' page on main site; license number not visible in site snippets; no booking widget; hiring now</t>
        </is>
      </c>
      <c r="M14" s="2" t="inlineStr">
        <is>
          <t>Phone: confirmed | Owner: confirmed | Independent: confirmed - family owned (established 1992 per Yelp/own site; other listings say 1994, 1996 or 1998), &lt;25 employees (ZoomInfo) / 11-50 (other), &lt;$5M revenue; no acquisition, partnership, PE or franchise hits. Runs pembrokepines-airconditioning.com and coopercity-airconditioning.com microsites (confirmed by indexed page titles)</t>
        </is>
      </c>
      <c r="N14" s="2" t="inlineStr">
        <is>
          <t>Yes - CareerSource Broward (90%)</t>
        </is>
      </c>
      <c r="O14" s="2" t="inlineStr">
        <is>
          <t>Under 25 employees (ZoomInfo; another source says 11-50), revenue under $5M; est. 5-12 trucks</t>
        </is>
      </c>
      <c r="P14" s="2" t="inlineStr">
        <is>
          <t>c. 1992 (listings conflict: 1992 Yelp, 1994/1996 Nextdoor, 1998 BlueBook; LinkedIn shows Valdes as President since Aug 1983)</t>
        </is>
      </c>
      <c r="Q14" s="2" t="inlineStr">
        <is>
          <t>pembrokepinesair.com (primary; has /employment page and an unfinished '/blank' page); also runs pembrokepines-airconditioning.com and coopercity-airconditioning.com microsites</t>
        </is>
      </c>
      <c r="R14" s="2" t="inlineStr"/>
      <c r="S14" s="2" t="inlineStr">
        <is>
          <t>12631 SW 20th St, 33027</t>
        </is>
      </c>
      <c r="T14" s="2" t="inlineStr"/>
      <c r="U14" s="2" t="inlineStr">
        <is>
          <t>None detected</t>
        </is>
      </c>
      <c r="V14" s="2" t="inlineStr">
        <is>
          <t>No booking widget seen in snippets</t>
        </is>
      </c>
      <c r="W14" s="2" t="inlineStr">
        <is>
          <t>Not seen in site snippets; DBPR shows CAC1818232 (Richard Valdes) current/active, expires 8/31/2026</t>
        </is>
      </c>
      <c r="X14" s="2" t="inlineStr">
        <is>
          <t>Yes - 'now hiring' with employment page at pembrokepinesair.com/employment</t>
        </is>
      </c>
      <c r="Y14" s="2" t="inlineStr">
        <is>
          <t>No BBB profile exists for this business (only BBB category pages returned) - not accredited/not rated. Hiring signal: 'now hiring' employment page at pembrokepinesair.com/employment. Yelp 4.6 with 44 reviews; Nextdoor reviews praise 'Richard' by name (owner hands-on) and mention a tech 'Ricky'. Founding year is inconsistent across listings (1992/1994/1996/1998) and ZoomInfo claims Valdes has been President since Aug 1983 - treat tenure claims loosely. DBPR lists the licensee's address as Hollywood, FL. There is also a separate Nextdoor page 'Pembroke Pines Air Conditioning Repair' (10 faves) that may be a different or duplicate listing - confirm you are speaking to Valdes's company. Verification basis: cached Yelp, Nextdoor, LinkedIn, DBPR, ZoomInfo, Manta and Yellow Pages snippets; no live lookups possible.</t>
        </is>
      </c>
      <c r="Z14" s="3" t="inlineStr"/>
      <c r="AA14" s="3" t="inlineStr"/>
      <c r="AB14" s="3" t="inlineStr"/>
      <c r="AC14" s="3" t="inlineStr"/>
      <c r="AD14" s="3" t="inlineStr"/>
    </row>
    <row r="15">
      <c r="A15" s="2" t="n">
        <v>14</v>
      </c>
      <c r="B15" s="2" t="inlineStr">
        <is>
          <t>A</t>
        </is>
      </c>
      <c r="C15" s="2" t="inlineStr">
        <is>
          <t>Pro Comfort AC (Pro Comfort AC LLC)</t>
        </is>
      </c>
      <c r="D15" s="2" t="inlineStr">
        <is>
          <t>Nikita V. Novak</t>
        </is>
      </c>
      <c r="E15" s="2" t="inlineStr">
        <is>
          <t>Managing Member (BBB principal)</t>
        </is>
      </c>
      <c r="F15" s="2" t="inlineStr">
        <is>
          <t>(954) 695-2979</t>
        </is>
      </c>
      <c r="G15" s="2" t="inlineStr">
        <is>
          <t>(954) 363-9191 (shown on BuildZoom and Zumvu listings)</t>
        </is>
      </c>
      <c r="H15" s="2" t="inlineStr">
        <is>
          <t>Deerfield Beach</t>
        </is>
      </c>
      <c r="I15" s="2" t="inlineStr">
        <is>
          <t>Broward</t>
        </is>
      </c>
      <c r="J15" s="2" t="inlineStr">
        <is>
          <t>Operations Audit &amp; Strategic Roadmap</t>
        </is>
      </c>
      <c r="K15" s="2" t="inlineStr">
        <is>
          <t>Nikita, Pro Comfort is three years in, carrying two CAC licenses and putting out press releases about expanding - but I can't find a single Google or Yelp review of you, and your site lists one phone number while the directories list another. When I rebuilt a three-company HVAC merger in Pompano (FMBS) we fixed exactly those gaps before scaling, and they hit their five-year numbers in two.</t>
        </is>
      </c>
      <c r="L15" s="2" t="inlineStr">
        <is>
          <t>(1) Two public phone numbers (954-695-2979 on site/BBB vs 954-363-9191 on BuildZoom/Zumvu) and two emails (info@ vs Gmail). (2) Conflicting published hours: Mon-Fri 8-6 on site vs Mon-Sat 9-5 on directories. (3) No visible reviews anywhere third-party (YellowPages 0, BuildZoom 0, BBB none) - no review-request engine despite paying for press releases and BBB accreditation (since 5/13/2026). (4) CAC license number not visible in site snippets. (5) No online booking widget, request form only. (6) Three-year-old shop with two licensed qualifiers and expansion press releases - growing faster than its systems.</t>
        </is>
      </c>
      <c r="M15" s="2" t="inlineStr">
        <is>
          <t>Phone: confirmed | Owner: confirmed | Independent: confirmed - LLC incorporated 4/5/2023, business started 8/4/2023 (BBB); family-owned per own copy; no acquisition, partnership, PE or franchise hits. The July 2026 'expands HVAC services' items (financialcontent/MarketersMedia, EIN Presswire, NatLawReview, WBOC) are self-issued press releases about service-area expansion into Boca Raton/Palm Beach, not a change of ownership</t>
        </is>
      </c>
      <c r="N15" s="2" t="inlineStr">
        <is>
          <t>Yes - CareerSource Broward (90%)</t>
        </is>
      </c>
      <c r="O15" s="2" t="inlineStr">
        <is>
          <t>Small, roughly 4-10 people (BBB names four people; two CAC-licensed qualifiers on staff)</t>
        </is>
      </c>
      <c r="P15" s="2" t="inlineStr">
        <is>
          <t>2023 (LLC incorporated 4/5/2023; BBB business start 8/4/2023)</t>
        </is>
      </c>
      <c r="Q15" s="2" t="inlineStr">
        <is>
          <t>https://www.procomfortac.com/</t>
        </is>
      </c>
      <c r="R15" s="2" t="inlineStr">
        <is>
          <t>info@procomfortac.com (also procomfortac@gmail.com on directory listings)</t>
        </is>
      </c>
      <c r="S15" s="2" t="inlineStr">
        <is>
          <t>817 SE 9th St, Ste 100, Deerfield Beach, FL 33441</t>
        </is>
      </c>
      <c r="T15" s="2" t="inlineStr">
        <is>
          <t>Not found in snippets / Not found; YellowPages shows 'Be the first to review', BuildZoom has no reviews, BBB has no customer reviews</t>
        </is>
      </c>
      <c r="U15" s="2" t="inlineStr">
        <is>
          <t>None visible. Syndicated press releases via MarketersMedia / EIN Presswire (July 2026) and multi-city location pages (Fort Lauderdale, Plantation, Boca Raton) indicate an active marketing agency</t>
        </is>
      </c>
      <c r="V15" s="2" t="inlineStr">
        <is>
          <t>No scheduling widget seen - 'Schedule service today' goes to a request / free-estimate form</t>
        </is>
      </c>
      <c r="W15" s="2" t="inlineStr">
        <is>
          <t>Not seen in website snippets. BBB and BuildZoom list CAC1822485 (exp 8/31/2026) and CAC1822561 (exp 8/31/2028)</t>
        </is>
      </c>
      <c r="X15" s="2" t="inlineStr">
        <is>
          <t>Not seen (site describes itself as 'dynamically growing')</t>
        </is>
      </c>
      <c r="Y15" s="2" t="inlineStr">
        <is>
          <t>Very young company (~3 years) in visible growth/marketing mode: multiple 2026 press releases, BBB Accredited only since 5/13/2026 (A+), BuildZoom score 94 with zero reviews there, and no Google or Yelp star rating surfaced in any snippet - reputation footprint is thin despite the PR. One BBB snippet (older) said 'not rated, in business under 6 months.' Hours inconsistent across listings (Mon-Fri 8-6 with 24/7 emergency vs Mon-Sat 9-5). Location pages for Fort Lauderdale, Plantation, Tamarac, Boca Raton; commercial VRF/split-system pages suggest commercial ambitions. Names suggest Russian-speaking principals (Novak, Pesok, Kuznetsov). Verification basis: cached BBB, Yelp, BuildZoom, Yellow Pages and press-release snippets; no live lookups possible.</t>
        </is>
      </c>
      <c r="Z15" s="3" t="inlineStr"/>
      <c r="AA15" s="3" t="inlineStr"/>
      <c r="AB15" s="3" t="inlineStr"/>
      <c r="AC15" s="3" t="inlineStr"/>
      <c r="AD15" s="3" t="inlineStr"/>
    </row>
    <row r="16">
      <c r="A16" s="2" t="n">
        <v>15</v>
      </c>
      <c r="B16" s="2" t="inlineStr">
        <is>
          <t>A</t>
        </is>
      </c>
      <c r="C16" s="2" t="inlineStr">
        <is>
          <t>Vital A/C Solutions, Inc.</t>
        </is>
      </c>
      <c r="D16" s="2" t="inlineStr">
        <is>
          <t>Warley Beltrame Vital</t>
        </is>
      </c>
      <c r="E16" s="2" t="inlineStr">
        <is>
          <t>Owner</t>
        </is>
      </c>
      <c r="F16" s="2" t="inlineStr">
        <is>
          <t>(954) 821-8640</t>
        </is>
      </c>
      <c r="G16" s="2" t="inlineStr"/>
      <c r="H16" s="2" t="inlineStr">
        <is>
          <t>Margate</t>
        </is>
      </c>
      <c r="I16" s="2" t="inlineStr">
        <is>
          <t>Broward</t>
        </is>
      </c>
      <c r="J16" s="2" t="inlineStr">
        <is>
          <t>Marketing &amp; Website Makeover</t>
        </is>
      </c>
      <c r="K16" s="2" t="inlineStr">
        <is>
          <t>Warley, you're at 4.7 on Yelp and 5.0 on Nearby Now, but none of those reviews show up on your own website and you're still running a Craigslist ad to get calls. I put the reviews, a book-now button and your license number on the site and set up automatic review requests after every job, the same groundwork I laid for a three-company merger in Pompano Beach that hit its 5-year numbers in 2.</t>
        </is>
      </c>
      <c r="L16" s="2" t="inlineStr">
        <is>
          <t>Reviews are split across platforms and under 60 on each: Yelp 4.7 with 29 reviews (33 on an older listing page), Nearby Now 5.0 with 44 reviews; Google rating/count did not surface in search. Still running a Craigslist 'Air Conditioning Services' ad (Pompano Beach) for leads. No CAC license number, maintenance-plan page or online booking link seen in any snippet. Owner is the named public face of the business. Apollo first indexed the company in 2021 (weak, unverified hint of a recent start).</t>
        </is>
      </c>
      <c r="M16" s="2" t="inlineStr"/>
      <c r="N16" s="2" t="inlineStr">
        <is>
          <t>Yes - CareerSource Broward (90%)</t>
        </is>
      </c>
      <c r="O16" s="2" t="inlineStr">
        <is>
          <t>Unknown; small owner-run shop (suite office, 29-44 reviews per platform suggests roughly 1-5 trucks). Unconfirmed.</t>
        </is>
      </c>
      <c r="P16" s="2" t="inlineStr"/>
      <c r="Q16" s="2" t="inlineStr">
        <is>
          <t>https://www.vitalacsolutions.com/</t>
        </is>
      </c>
      <c r="R16" s="2" t="inlineStr"/>
      <c r="S16" s="2" t="inlineStr">
        <is>
          <t>5451 NW 24th St, Ste 2, Margate, FL 33063</t>
        </is>
      </c>
      <c r="T16" s="2" t="inlineStr"/>
      <c r="U16" s="2" t="inlineStr">
        <is>
          <t>Nearby Now (review/check-in widget). No Housecall Pro, Jobber or ServiceTitan link surfaced.</t>
        </is>
      </c>
      <c r="V16" s="2" t="inlineStr">
        <is>
          <t>Not seen in snippets. A Nearby Now check-in/review profile exists (nearbynow.co), which is a marketing add-on, not a booking or dispatch system.</t>
        </is>
      </c>
      <c r="W16" s="2" t="inlineStr">
        <is>
          <t>Not seen in any snippet</t>
        </is>
      </c>
      <c r="X16" s="2" t="inlineStr"/>
      <c r="Y16" s="2" t="inlineStr"/>
      <c r="Z16" s="3" t="inlineStr"/>
      <c r="AA16" s="3" t="inlineStr"/>
      <c r="AB16" s="3" t="inlineStr"/>
      <c r="AC16" s="3" t="inlineStr"/>
      <c r="AD16" s="3" t="inlineStr"/>
    </row>
    <row r="17">
      <c r="A17" s="2" t="n">
        <v>16</v>
      </c>
      <c r="B17" s="2" t="inlineStr">
        <is>
          <t>A</t>
        </is>
      </c>
      <c r="C17" s="2" t="inlineStr">
        <is>
          <t>B W Air Conditioning Inc</t>
        </is>
      </c>
      <c r="D17" s="2" t="inlineStr">
        <is>
          <t>Fabio Calderon</t>
        </is>
      </c>
      <c r="E17" s="2" t="inlineStr">
        <is>
          <t>Owner-operator</t>
        </is>
      </c>
      <c r="F17" s="2" t="inlineStr">
        <is>
          <t>(954) 565-7369</t>
        </is>
      </c>
      <c r="G17" s="2" t="inlineStr"/>
      <c r="H17" s="2" t="inlineStr">
        <is>
          <t>Pompano Beach</t>
        </is>
      </c>
      <c r="I17" s="2" t="inlineStr">
        <is>
          <t>Broward</t>
        </is>
      </c>
      <c r="J17" s="2" t="inlineStr">
        <is>
          <t>Marketing &amp; Website Makeover</t>
        </is>
      </c>
      <c r="K17" s="2" t="inlineStr">
        <is>
          <t>Fabio, B W has two websites live right now - your own and a copy sitting on your marketing agency's Wix Studio page - so 40 years of reputation is getting split in half, and with office hours of 7 to 4 the after-hours calls need somewhere to land. I rebuilt the web and booking side for a Pompano HVAC group (FMBS) during an overhaul that hit their 5-year goals in 2 years; with 18 people you should own your site, your reviews and your booking button yourself.</t>
        </is>
      </c>
      <c r="L17" s="2" t="inlineStr">
        <is>
          <t>Two websites live: bwairconditioning.com plus a duplicate on the marketing agency's Wix Studio subdomain (quickemarketing.wixstudio.com/bwair) - agency-controlled, split web presence; office hours Mon-Fri 7am-4pm only with no weekend or after-hours intake seen; relies on a HomeAdvisor pay-per-lead listing; Google rating/review count, CAC license number and online booking not surfaced in search.</t>
        </is>
      </c>
      <c r="M17" s="2" t="inlineStr">
        <is>
          <t>Phone: confirmed | Owner: confirmed, but only via company-authored content | Independent: Owner-operated and independent on available evidence; no acquisition, PE, consolidator or franchise language found. Supporting detail for the researcher's 'prior ownership change' hypothesis: Sunbiz entity 'B W AIR CONDITIONING, INC.' is P12000072084 (a 2012 Florida corporation) while marketing says 'over 40 years in South Florida' — consistent with a 2012 re-incorporation or buyout of an older B W brand. Dedicated 'acquired'/'partners with' searches could not be run (budget exhausted).</t>
        </is>
      </c>
      <c r="N17" s="2" t="inlineStr">
        <is>
          <t>Yes - CareerSource Broward (90%)</t>
        </is>
      </c>
      <c r="O17" s="2" t="inlineStr">
        <is>
          <t>18 employees (HomeAdvisor) - roughly 8-12 trucks, squarely in range</t>
        </is>
      </c>
      <c r="P17" s="2" t="inlineStr">
        <is>
          <t>About 1980s (HomeAdvisor: 40+ years in business)</t>
        </is>
      </c>
      <c r="Q17" s="2" t="inlineStr">
        <is>
          <t>bwairconditioning.com</t>
        </is>
      </c>
      <c r="R17" s="2" t="inlineStr"/>
      <c r="S17" s="2" t="inlineStr"/>
      <c r="T17" s="2" t="inlineStr"/>
      <c r="U17" s="2" t="inlineStr">
        <is>
          <t>Second website hosted on marketing agency's Wix Studio account (quickemarketing.wixstudio.com/bwair); field-service software not identified</t>
        </is>
      </c>
      <c r="V17" s="2" t="inlineStr">
        <is>
          <t>Not verified</t>
        </is>
      </c>
      <c r="W17" s="2" t="inlineStr">
        <is>
          <t>Not verified</t>
        </is>
      </c>
      <c r="X17" s="2" t="inlineStr">
        <is>
          <t>Not found</t>
        </is>
      </c>
      <c r="Y17" s="2" t="inlineStr">
        <is>
          <t>ZoomInfo: 18 employees — the largest headcount on this list after Natal; Birdeye 219 reviews at 5.0; Yelp listing with 45 photos. Hours Mon-Fri 7:00 AM-4:00 PM, closed Sat/Sun (no weekend/after-hours capture). Full-service residential + commercial + new construction. Two web properties: bwairconditioning.com plus an agency-hosted Wix Studio site (quickemarketing.wixstudio.com/bwair) — duplicate web presence. Facebook page active. No hiring signals seen.</t>
        </is>
      </c>
      <c r="Z17" s="3" t="inlineStr"/>
      <c r="AA17" s="3" t="inlineStr"/>
      <c r="AB17" s="3" t="inlineStr"/>
      <c r="AC17" s="3" t="inlineStr"/>
      <c r="AD17" s="3" t="inlineStr"/>
    </row>
    <row r="18">
      <c r="A18" s="2" t="n">
        <v>17</v>
      </c>
      <c r="B18" s="2" t="inlineStr">
        <is>
          <t>A</t>
        </is>
      </c>
      <c r="C18" s="2" t="inlineStr">
        <is>
          <t>Cajun Bear AC Repair LLC</t>
        </is>
      </c>
      <c r="D18" s="2" t="inlineStr">
        <is>
          <t>Richard Comment</t>
        </is>
      </c>
      <c r="E18" s="2" t="inlineStr">
        <is>
          <t>President</t>
        </is>
      </c>
      <c r="F18" s="2" t="inlineStr">
        <is>
          <t>(954) 850-1204</t>
        </is>
      </c>
      <c r="G18" s="2" t="inlineStr"/>
      <c r="H18" s="2" t="inlineStr">
        <is>
          <t>Fort Lauderdale</t>
        </is>
      </c>
      <c r="I18" s="2" t="inlineStr">
        <is>
          <t>Broward</t>
        </is>
      </c>
      <c r="J18" s="2" t="inlineStr">
        <is>
          <t>Marketing &amp; Website Makeover</t>
        </is>
      </c>
      <c r="K18" s="2" t="inlineStr">
        <is>
          <t>Richard, Cajun Bear has a 4.7 on Yelp and a BBB profile but no website of its own, and the directories cannot even agree on your ZIP code (33311 on Yelp, 33321 on the chamber listing). Ann builds owner-run AC shops one clean site with the reviews, license number and a booking button, so the business you have built on referrals since 2021 starts pulling its own calls.</t>
        </is>
      </c>
      <c r="L18" s="2" t="inlineStr">
        <is>
          <t>1) No company website in any search result; presence is directories only. 2) Directories disagree on location: Yelp shows ZIP 33311, chamberofcommerce.com shows 33321 (a Tamarac ZIP). 3) 15 Yelp reviews; no Google review count visible (under the 60-review mark). 4) No CAC license number visible on any listing snippet. 5) No online booking path. 6) Four-year-old LLC with a BBB profile and D&amp;B record but no owned web presence, i.e. growing on referrals without systems.</t>
        </is>
      </c>
      <c r="M18" s="2" t="inlineStr"/>
      <c r="N18" s="2" t="inlineStr">
        <is>
          <t>Yes - CareerSource Broward (90%)</t>
        </is>
      </c>
      <c r="O18" s="2" t="inlineStr">
        <is>
          <t>Unknown; likely under 10 (owner-run LLC formed 2021; no employee count surfaced). Confirm truck count on the call.</t>
        </is>
      </c>
      <c r="P18" s="2" t="inlineStr">
        <is>
          <t>2021 (Florida LLC document no. L21000010157)</t>
        </is>
      </c>
      <c r="Q18" s="2" t="inlineStr"/>
      <c r="R18" s="2" t="inlineStr"/>
      <c r="S18" s="2" t="inlineStr">
        <is>
          <t>1531 NW 7th Ave, Fort Lauderdale, FL 33311</t>
        </is>
      </c>
      <c r="T18" s="2" t="inlineStr">
        <is>
          <t>Google not seen; Yelp 4.7 stars on 15 reviews</t>
        </is>
      </c>
      <c r="U18" s="2" t="inlineStr"/>
      <c r="V18" s="2" t="inlineStr">
        <is>
          <t>None found (listing-only presence: Yelp, Nextdoor, BBB, D&amp;B, BuildZoom, chamberofcommerce.com)</t>
        </is>
      </c>
      <c r="W18" s="2" t="inlineStr">
        <is>
          <t>No website found; no CAC number shown in Yelp, BBB, Nextdoor or directory snippets</t>
        </is>
      </c>
      <c r="X18" s="2" t="inlineStr"/>
      <c r="Y18" s="2" t="inlineStr"/>
      <c r="Z18" s="3" t="inlineStr"/>
      <c r="AA18" s="3" t="inlineStr"/>
      <c r="AB18" s="3" t="inlineStr"/>
      <c r="AC18" s="3" t="inlineStr"/>
      <c r="AD18" s="3" t="inlineStr"/>
    </row>
    <row r="19">
      <c r="A19" s="2" t="n">
        <v>18</v>
      </c>
      <c r="B19" s="2" t="inlineStr">
        <is>
          <t>A</t>
        </is>
      </c>
      <c r="C19" s="2" t="inlineStr">
        <is>
          <t>Lucas Technical Air (Lucas Technical Air, Corp)</t>
        </is>
      </c>
      <c r="D19" s="2" t="inlineStr">
        <is>
          <t>Lucas (first name only, as named in customer reviews; surname not in snippets)</t>
        </is>
      </c>
      <c r="E19" s="2" t="inlineStr">
        <is>
          <t>Owner-operator (reviews describe 'Lucas and his team' doing the diagnostics)</t>
        </is>
      </c>
      <c r="F19" s="2" t="inlineStr">
        <is>
          <t>(954) 213-5673</t>
        </is>
      </c>
      <c r="G19" s="2" t="inlineStr"/>
      <c r="H19" s="2" t="inlineStr">
        <is>
          <t>Deerfield Beach</t>
        </is>
      </c>
      <c r="I19" s="2" t="inlineStr">
        <is>
          <t>Broward</t>
        </is>
      </c>
      <c r="J19" s="2" t="inlineStr">
        <is>
          <t>Operations Audit &amp; Strategic Roadmap</t>
        </is>
      </c>
      <c r="K19" s="2" t="inlineStr">
        <is>
          <t>Lucas, your Nextdoor page now says 'Air &amp; Electric' and your reviews still have you personally chasing down the problem on every job - that's the moment a 20-year shop either gets a second layer of managers or burns the owner out. Ann rebuilt a three-company HVAC merger in Pompano (FMBS) the same way: right managers over service, install and the new trade, booking and permit systems underneath, and they hit their 5-year numbers in 2 years.</t>
        </is>
      </c>
      <c r="L19" s="2" t="inlineStr">
        <is>
          <t>Owner still working in the field per reviews; brand/entity inconsistency across listings (BBB 'Lucas Technical Air, Corp', Nextdoor 'Lucas Technical Air &amp; Electeic' [sic] tagged Pompano Beach/Margate while HQ is Deerfield Beach); website is a grid of city landing pages (Lauderhill to Juno Beach) each claiming '#1 rated' - agency-SEO pattern; review footprint fragmented (382 on experience.com vs 11 on Yelp); no CAC license number, booking widget, or software visible in snippets</t>
        </is>
      </c>
      <c r="M19" s="2" t="inlineStr"/>
      <c r="N19" s="2" t="inlineStr">
        <is>
          <t>Yes - CareerSource Broward (90%)</t>
        </is>
      </c>
      <c r="O19" s="2" t="inlineStr">
        <is>
          <t>Est. 5-15 employees (24/7 operation, 382 reviews over 20 yrs, owner still in field) - not sourced</t>
        </is>
      </c>
      <c r="P19" s="2" t="inlineStr">
        <is>
          <t>~2005 ("for 20 years" per review profile)</t>
        </is>
      </c>
      <c r="Q19" s="2" t="inlineStr">
        <is>
          <t>lucastechnicalair.com</t>
        </is>
      </c>
      <c r="R19" s="2" t="inlineStr"/>
      <c r="S19" s="2" t="inlineStr">
        <is>
          <t>1809 S Powerline Rd, Ste 102, Deerfield Beach, FL 33442</t>
        </is>
      </c>
      <c r="T19" s="2" t="inlineStr">
        <is>
          <t>Google count not sourced; experience.com shows 4.86 from 382 verified reviews; Yelp 11 reviews</t>
        </is>
      </c>
      <c r="U19" s="2" t="inlineStr"/>
      <c r="V19" s="2" t="inlineStr">
        <is>
          <t>Not seen in snippets</t>
        </is>
      </c>
      <c r="W19" s="2" t="inlineStr">
        <is>
          <t>Not seen in snippets</t>
        </is>
      </c>
      <c r="X19" s="2" t="inlineStr">
        <is>
          <t>Not seen in snippets</t>
        </is>
      </c>
      <c r="Y19" s="2" t="inlineStr"/>
      <c r="Z19" s="3" t="inlineStr"/>
      <c r="AA19" s="3" t="inlineStr"/>
      <c r="AB19" s="3" t="inlineStr"/>
      <c r="AC19" s="3" t="inlineStr"/>
      <c r="AD19" s="3" t="inlineStr"/>
    </row>
    <row r="20">
      <c r="A20" s="2" t="n">
        <v>19</v>
      </c>
      <c r="B20" s="2" t="inlineStr">
        <is>
          <t>A</t>
        </is>
      </c>
      <c r="C20" s="2" t="inlineStr">
        <is>
          <t>Mr. Air AC &amp; Electrical (Mr Air Air Conditioning &amp; Electrical)</t>
        </is>
      </c>
      <c r="D20" s="2" t="inlineStr">
        <is>
          <t>Zachary Fraley</t>
        </is>
      </c>
      <c r="E20" s="2" t="inlineStr">
        <is>
          <t>Owner (per Oct 2024 IssueWire release)</t>
        </is>
      </c>
      <c r="F20" s="2" t="inlineStr"/>
      <c r="G20" s="2" t="inlineStr"/>
      <c r="H20" s="2" t="inlineStr">
        <is>
          <t>Pompano Beach</t>
        </is>
      </c>
      <c r="I20" s="2" t="inlineStr">
        <is>
          <t>Broward</t>
        </is>
      </c>
      <c r="J20" s="2" t="inlineStr">
        <is>
          <t>Operations Audit &amp; Strategic Roadmap</t>
        </is>
      </c>
      <c r="K20" s="2" t="inlineStr">
        <is>
          <t>Zach, you took over Mr. Air from Joe last fall, added 24/7 dispatch and an electrical side, and you're hiring techs with tuition reimbursement - that's three new load-bearing walls on one 20-person crew. Ann did exactly this at FMBS in Pompano, a three-company HVAC merger: put the right managers over service, install and the new trade, built the booking, permit and inventory systems under them, and they hit their 5-year goals in two years - and because you're in Broward, CareerSource can cover 90% of the staff training.</t>
        </is>
      </c>
      <c r="L20" s="2" t="inlineStr">
        <is>
          <t>Owner change (Mascetti to Fraley) while the CAC license still sits with the prior principal - qualifier/compliance exposure during the transition; two separate web properties (callmrair.com and a mediaroom.app 'about-us' page) plus press releases pushed through IssueWire - agency-built presence; low review volume for a 20-person shop (Angi 20, Yelp 17) with a 1-star install complaint from 2020; BBB accreditation only since May 2024; just took on 24/7 emergency coverage and an electrical division while hiring techs - dispatch, training and inventory load all rising at once</t>
        </is>
      </c>
      <c r="M20" s="2" t="inlineStr"/>
      <c r="N20" s="2" t="inlineStr">
        <is>
          <t>Yes - CareerSource Broward (90%)</t>
        </is>
      </c>
      <c r="O20" s="2" t="inlineStr">
        <is>
          <t>~20 employees (search snippet); roughly 8-12 trucks</t>
        </is>
      </c>
      <c r="P20" s="2" t="inlineStr">
        <is>
          <t>Not in snippets (BBB accredited since 5/24/2024; Angi/HomeAdvisor reviews back to 2020)</t>
        </is>
      </c>
      <c r="Q20" s="2" t="inlineStr">
        <is>
          <t>callmrair.com (also a separate 'about-us' page at callmrair.mediaroom.app)</t>
        </is>
      </c>
      <c r="R20" s="2" t="inlineStr"/>
      <c r="S20" s="2" t="inlineStr">
        <is>
          <t>4624 N Powerline Rd, Pompano Beach, FL 33073</t>
        </is>
      </c>
      <c r="T20" s="2" t="inlineStr">
        <is>
          <t>Google count not sourced; Angi 4.7 from 20 reviews; Yelp 17 reviews</t>
        </is>
      </c>
      <c r="U20" s="2" t="inlineStr"/>
      <c r="V20" s="2" t="inlineStr">
        <is>
          <t>Not seen in snippets</t>
        </is>
      </c>
      <c r="W20" s="2" t="inlineStr">
        <is>
          <t>Not seen in snippets (state license is held personally by Joseph Raymond Mascetti per DBPR)</t>
        </is>
      </c>
      <c r="X20" s="2" t="inlineStr">
        <is>
          <t>Yes - Indeed: HVAC technicians $20-$40/hr, year-round work, paid training, tuition reimbursement, 401(k), health insurance</t>
        </is>
      </c>
      <c r="Y20" s="2" t="inlineStr"/>
      <c r="Z20" s="3" t="inlineStr"/>
      <c r="AA20" s="3" t="inlineStr"/>
      <c r="AB20" s="3" t="inlineStr"/>
      <c r="AC20" s="3" t="inlineStr"/>
      <c r="AD20" s="3" t="inlineStr"/>
    </row>
    <row r="21">
      <c r="A21" s="2" t="n">
        <v>20</v>
      </c>
      <c r="B21" s="2" t="inlineStr">
        <is>
          <t>B</t>
        </is>
      </c>
      <c r="C21" s="2" t="inlineStr">
        <is>
          <t>All County Air Conditioning, Refrigeration &amp; Heating Co.</t>
        </is>
      </c>
      <c r="D21" s="2" t="inlineStr">
        <is>
          <t>Joseph (Joe) Sposa</t>
        </is>
      </c>
      <c r="E21" s="2" t="inlineStr">
        <is>
          <t>President / Owner</t>
        </is>
      </c>
      <c r="F21" s="2" t="inlineStr">
        <is>
          <t>(954) 297-9754</t>
        </is>
      </c>
      <c r="G21" s="2" t="inlineStr"/>
      <c r="H21" s="2" t="inlineStr">
        <is>
          <t>Plantation</t>
        </is>
      </c>
      <c r="I21" s="2" t="inlineStr">
        <is>
          <t>Broward</t>
        </is>
      </c>
      <c r="J21" s="2" t="inlineStr">
        <is>
          <t>Systems + AI Enablement</t>
        </is>
      </c>
      <c r="K21" s="2" t="inlineStr">
        <is>
          <t>Joe, your customers love that you pick up the phone yourself at 8 at night - but that means every call stops when you're up on a roof. Ann set up booking and follow-up systems for a three-shop HVAC merger in Pompano so the owners got off the phone, and they hit their five-year numbers in two.</t>
        </is>
      </c>
      <c r="L21" s="2" t="inlineStr">
        <is>
          <t>Owner Joe personally picks up the phone at 8 pm per reviews (no CSR/dispatcher); main number is a cell-style number; ~5 employees; no online booking; not BBB accredited; website review feed shows 41 reviews while Yelp shows 94 (4.8) and BipperMedia 78 - review feed not synced; '40+ years' claim vs 2010 business start on BBB; Google rating not surfaced in snippets</t>
        </is>
      </c>
      <c r="M21" s="2" t="inlineStr">
        <is>
          <t>Phone: confirmed | Owner: confirmed | Independent: confirmed - family owned and operated, ~5 employees (ZoomInfo/RocketReach), no acquisition, partnership, PE or franchise hits. Note: BBB lists an unrelated 'All County Air Conditioning &amp; Refrigeration, Inc.' in Kissimmee and Yelp an unrelated Atlanta company with a similar name - do not conflate</t>
        </is>
      </c>
      <c r="N21" s="2" t="inlineStr">
        <is>
          <t>Yes - CareerSource Broward (90%)</t>
        </is>
      </c>
      <c r="O21" s="2" t="inlineStr">
        <is>
          <t>About 5 employees (ZoomInfo/RocketReach); likely 2-3 trucks, revenue probably under $1M</t>
        </is>
      </c>
      <c r="P21" s="2" t="inlineStr">
        <is>
          <t>2010 (BBB business start 9/10/2010; LinkedIn says owner since Jan 2005; '40+ years' refers to Joe's personal experience)</t>
        </is>
      </c>
      <c r="Q21" s="2" t="inlineStr">
        <is>
          <t>airconditioningbroward.com</t>
        </is>
      </c>
      <c r="R21" s="2" t="inlineStr"/>
      <c r="S21" s="2" t="inlineStr">
        <is>
          <t>6843 NW 14th Ct, 33313</t>
        </is>
      </c>
      <c r="T21" s="2" t="inlineStr"/>
      <c r="U21" s="2" t="inlineStr">
        <is>
          <t>None detected; site has its own reviews page showing 4.8 (41 reviews)</t>
        </is>
      </c>
      <c r="V21" s="2" t="inlineStr">
        <is>
          <t>No booking widget seen; phone-first (owner answers calls)</t>
        </is>
      </c>
      <c r="W21" s="2" t="inlineStr">
        <is>
          <t>Yes - CMC1250262 and CAC1816621</t>
        </is>
      </c>
      <c r="X21" s="2" t="inlineStr">
        <is>
          <t>No evidence</t>
        </is>
      </c>
      <c r="Y21" s="2" t="inlineStr">
        <is>
          <t>BBB: NOT accredited; BBB says business started 9/10/2010 (file opened 8/13/2012) even though marketing says '40+ years experience' - the 40 years is Joe's personal experience, the company is ~16 years old. Open 24/7. Ratings: Yelp 4.8 (94 reviews), BuildZoom 5/5 (16), own site 4.8 (41); Nextdoor 'Neighborhood Favorite' 2024 in Plantation. No hiring signals found. Website airconditioningbroward.com is a keyword/SEO domain; Apollo also indexes the firm as 'All County Air Conditioning Repair'. Verification basis: cached BBB, Yelp, LinkedIn, Nextdoor, BuildZoom, ZoomInfo and RocketReach snippets; no live lookups possible.</t>
        </is>
      </c>
      <c r="Z21" s="3" t="inlineStr"/>
      <c r="AA21" s="3" t="inlineStr"/>
      <c r="AB21" s="3" t="inlineStr"/>
      <c r="AC21" s="3" t="inlineStr"/>
      <c r="AD21" s="3" t="inlineStr"/>
    </row>
    <row r="22">
      <c r="A22" s="2" t="n">
        <v>21</v>
      </c>
      <c r="B22" s="2" t="inlineStr">
        <is>
          <t>B</t>
        </is>
      </c>
      <c r="C22" s="2" t="inlineStr">
        <is>
          <t>All Temperature Service, Inc.</t>
        </is>
      </c>
      <c r="D22" s="2" t="inlineStr">
        <is>
          <t>Todd E. Williams</t>
        </is>
      </c>
      <c r="E22" s="2" t="inlineStr">
        <is>
          <t>President</t>
        </is>
      </c>
      <c r="F22" s="2" t="inlineStr">
        <is>
          <t>(954) 434-7074</t>
        </is>
      </c>
      <c r="G22" s="2" t="inlineStr"/>
      <c r="H22" s="2" t="inlineStr">
        <is>
          <t>Southwest Ranches</t>
        </is>
      </c>
      <c r="I22" s="2" t="inlineStr">
        <is>
          <t>Broward</t>
        </is>
      </c>
      <c r="J22" s="2" t="inlineStr">
        <is>
          <t>Marketing &amp; Website Makeover</t>
        </is>
      </c>
      <c r="K22" s="2" t="inlineStr">
        <is>
          <t>Todd, you've been running All Temperature in Southwest Ranches for 31 years and there are five Google reviews to show for it, plus a two-star on Yelp nobody answered - your work is better than your web presence says. Ann put a review-request engine and a real booking site under a three-shop HVAC merger in Pompano and they hit their five-year numbers in two.</t>
        </is>
      </c>
      <c r="L22" s="2" t="inlineStr">
        <is>
          <t>Only 5 Google reviews after 31 years in business; Yelp 2.0 (4 reviews) including a 'run like a boiler room' review with no owner reply; BBB A- rating, not accredited, 1 complaint unresolved; dated static-HTML website with a 'testimonials' page instead of live reviews; no online booking; no maintenance-plan page (only 'flexible options' wording); website failed to resolve on fetch attempt; Mon-Thu 8:30-5 hours, no 24/7 line</t>
        </is>
      </c>
      <c r="M22" s="2" t="inlineStr">
        <is>
          <t>Phone: confirmed | Owner: confirmed | Independent: confirmed - family owned/operated, 1-10 employees, &lt;$5M revenue (ZoomInfo/D&amp;B), FL license CAC056912, business started 3/15/1995 (BBB); no acquisition, partnership, PE or franchise hits in any cached result</t>
        </is>
      </c>
      <c r="N22" s="2" t="inlineStr">
        <is>
          <t>Yes - CareerSource Broward (90%)</t>
        </is>
      </c>
      <c r="O22" s="2" t="inlineStr">
        <is>
          <t>1-10 employees, revenue under $5M (ZoomInfo); likely 2-4 trucks</t>
        </is>
      </c>
      <c r="P22" s="2" t="inlineStr">
        <is>
          <t>1995 (BBB business start 3/15/1995; site says 'more than 25 years')</t>
        </is>
      </c>
      <c r="Q22" s="2" t="inlineStr">
        <is>
          <t>alltemperatureserviceinc.com (dated static-HTML site with /page/*.html structure; indexed in search, but reported DNS failure on fetch - hosting may be unreliable)</t>
        </is>
      </c>
      <c r="R22" s="2" t="inlineStr"/>
      <c r="S22" s="2" t="inlineStr">
        <is>
          <t>6040 SW 188th Ave, 33332</t>
        </is>
      </c>
      <c r="T22" s="2" t="inlineStr">
        <is>
          <t>5.0 / 5</t>
        </is>
      </c>
      <c r="U22" s="2" t="inlineStr">
        <is>
          <t>None detected</t>
        </is>
      </c>
      <c r="V22" s="2" t="inlineStr">
        <is>
          <t>No - contact page only, no booking widget seen</t>
        </is>
      </c>
      <c r="W22" s="2" t="inlineStr">
        <is>
          <t>Yes - CAC056912 (also BN4178, PX2596)</t>
        </is>
      </c>
      <c r="X22" s="2" t="inlineStr">
        <is>
          <t>No evidence</t>
        </is>
      </c>
      <c r="Y22" s="2" t="inlineStr">
        <is>
          <t>BBB: NOT accredited, A- rating, 1 complaint filed and not resolved. One online review calls it 'not a real AC contractor... ran like a boiler room operation' - expect some reputation sensitivity. Website is a dated static site (/page/*.html) and the domain failed DNS on fetch; Birdeye shows only 7 reviews; Nextdoor files the business under Fort Lauderdale. Hours: Mon-Thu 8:30-5, Fri 8-4, Sat 8:30-3:30 (closed Sun). Verification basis: cross-checked against cached BBB, ZoomInfo, D&amp;B, Yelp, Superpages and Southwest Ranches town-directory snippets gathered earlier this session; live search budget was exhausted and outside fetches are blocked, so no fresh lookups were possible.</t>
        </is>
      </c>
      <c r="Z22" s="3" t="inlineStr"/>
      <c r="AA22" s="3" t="inlineStr"/>
      <c r="AB22" s="3" t="inlineStr"/>
      <c r="AC22" s="3" t="inlineStr"/>
      <c r="AD22" s="3" t="inlineStr"/>
    </row>
    <row r="23">
      <c r="A23" s="2" t="n">
        <v>22</v>
      </c>
      <c r="B23" s="2" t="inlineStr">
        <is>
          <t>B</t>
        </is>
      </c>
      <c r="C23" s="2" t="inlineStr">
        <is>
          <t>Shoreline Air Systems Inc</t>
        </is>
      </c>
      <c r="D23" s="2" t="inlineStr">
        <is>
          <t>Donald A. Rist</t>
        </is>
      </c>
      <c r="E23" s="2" t="inlineStr">
        <is>
          <t>Owner / certified air conditioning contractor (license qualifier, CAC1815384)</t>
        </is>
      </c>
      <c r="F23" s="2" t="inlineStr">
        <is>
          <t>(954) 485-3117</t>
        </is>
      </c>
      <c r="G23" s="2" t="inlineStr"/>
      <c r="H23" s="2" t="inlineStr">
        <is>
          <t>Tamarac</t>
        </is>
      </c>
      <c r="I23" s="2" t="inlineStr">
        <is>
          <t>Broward</t>
        </is>
      </c>
      <c r="J23" s="2" t="inlineStr">
        <is>
          <t>Operations Audit &amp; Strategic Roadmap</t>
        </is>
      </c>
      <c r="K23" s="2" t="inlineStr">
        <is>
          <t>Don, Shoreline has been running cooling towers and pumps out of Tamarac since 1984, but online you only show up on BBB and the yellow pages: your own site does not come up and your Yelp page is empty. Ann just took a three-company AC merger in Pompano Beach and hit their five-year numbers in two; a three-week look at how Shoreline runs today would show where the next five years come from.</t>
        </is>
      </c>
      <c r="L23" s="2" t="inlineStr">
        <is>
          <t>1) Company website does not appear in any search result; only BBB, Yelp, Superpages and Yellow Pages do, and Apollo first indexed shorelineair.com in Sept 2026, i.e. a near-invisible or dated site. 2) Yelp listing with zero reviews; no Google review count surfaced. 3) 40-year family business with a single named principal and a second family name on a directory, a classic succession-planning stage. 4) BBB copy still says 'serving for 30 years' against a 1984 start, i.e. marketing copy not updated in a decade.</t>
        </is>
      </c>
      <c r="M23" s="2" t="inlineStr"/>
      <c r="N23" s="2" t="inlineStr">
        <is>
          <t>Yes - CareerSource Broward (90%)</t>
        </is>
      </c>
      <c r="O23" s="2" t="inlineStr">
        <is>
          <t>Unknown; likely 5-20 (40-year commercial mechanical shop serving Broward, Dade and Palm Beach; no employee count surfaced)</t>
        </is>
      </c>
      <c r="P23" s="2" t="inlineStr">
        <is>
          <t>1984</t>
        </is>
      </c>
      <c r="Q23" s="2" t="inlineStr">
        <is>
          <t>shorelineair.com (per Apollo index; never surfaced in search results; not fetched)</t>
        </is>
      </c>
      <c r="R23" s="2" t="inlineStr"/>
      <c r="S23" s="2" t="inlineStr">
        <is>
          <t>3801 NW 49th St, Tamarac, FL 33309-3305</t>
        </is>
      </c>
      <c r="T23" s="2" t="inlineStr">
        <is>
          <t>Google not seen; Yelp listing shows no reviews</t>
        </is>
      </c>
      <c r="U23" s="2" t="inlineStr"/>
      <c r="V23" s="2" t="inlineStr">
        <is>
          <t>Not verifiable: no booking link or scheduler surfaced in snippets</t>
        </is>
      </c>
      <c r="W23" s="2" t="inlineStr">
        <is>
          <t>Not verifiable (site not fetched). License is public: CAC1815384, qualifier Donald A. Rist (DBPR)</t>
        </is>
      </c>
      <c r="X23" s="2" t="inlineStr"/>
      <c r="Y23" s="2" t="inlineStr"/>
      <c r="Z23" s="3" t="inlineStr"/>
      <c r="AA23" s="3" t="inlineStr"/>
      <c r="AB23" s="3" t="inlineStr"/>
      <c r="AC23" s="3" t="inlineStr"/>
      <c r="AD23" s="3" t="inlineStr"/>
    </row>
    <row r="24">
      <c r="A24" s="2" t="n">
        <v>23</v>
      </c>
      <c r="B24" s="2" t="inlineStr">
        <is>
          <t>B</t>
        </is>
      </c>
      <c r="C24" s="2" t="inlineStr">
        <is>
          <t>123 Air Repair Inc</t>
        </is>
      </c>
      <c r="D24" s="2" t="inlineStr">
        <is>
          <t>Shalom Tweg</t>
        </is>
      </c>
      <c r="E24" s="2" t="inlineStr">
        <is>
          <t>President (per BBB profile)</t>
        </is>
      </c>
      <c r="F24" s="2" t="inlineStr">
        <is>
          <t>754-234-7951</t>
        </is>
      </c>
      <c r="G24" s="2" t="inlineStr"/>
      <c r="H24" s="2" t="inlineStr">
        <is>
          <t>Lauderhill</t>
        </is>
      </c>
      <c r="I24" s="2" t="inlineStr">
        <is>
          <t>Broward</t>
        </is>
      </c>
      <c r="J24" s="2" t="inlineStr">
        <is>
          <t>Marketing &amp; Website Makeover</t>
        </is>
      </c>
      <c r="K24" s="2" t="inlineStr">
        <is>
          <t>Shalom, I found 123 Air Repair on Thumbtack and the BBB but there is no website to send people to, and your $159 twice-a-year maintenance deal has nowhere to live online. I build simple sites for Broward shops with your reviews, a book-now button and your license number on them, so the leads stop depending on Thumbtack.</t>
        </is>
      </c>
      <c r="L24" s="2" t="inlineStr">
        <is>
          <t>No company website at all; Thumbtack-dependent lead flow; BBB profile filed under Fort Lauderdale while the shop is in Lauderhill (listing inconsistency); no review count visible on any listing; has a $159 maintenance plan but no page to sell or renew it; only one phone (754) shown, no email</t>
        </is>
      </c>
      <c r="M24" s="2" t="inlineStr"/>
      <c r="N24" s="2" t="inlineStr">
        <is>
          <t>Yes - CareerSource Broward (90%)</t>
        </is>
      </c>
      <c r="O24" s="2" t="inlineStr">
        <is>
          <t>Micro shop, est. 1-5 employees (owner-operated; '15+ years in HVAC, 30+ years combined experience'; no headcount shown anywhere)</t>
        </is>
      </c>
      <c r="P24" s="2" t="inlineStr">
        <is>
          <t>2014 (BBB business start date)</t>
        </is>
      </c>
      <c r="Q24" s="2" t="inlineStr">
        <is>
          <t>None found (only Thumbtack, Alignable, hub.biz and Yahoo Local directory listings surfaced)</t>
        </is>
      </c>
      <c r="R24" s="2" t="inlineStr"/>
      <c r="S24" s="2" t="inlineStr">
        <is>
          <t>4132 Inverrary Blvd, Lauderhill, FL</t>
        </is>
      </c>
      <c r="T24" s="2" t="inlineStr"/>
      <c r="U24" s="2" t="inlineStr"/>
      <c r="V24" s="2" t="inlineStr">
        <is>
          <t>None seen; lead flow runs through Thumbtack ('Air Repair - Fort Lauderdale' listing)</t>
        </is>
      </c>
      <c r="W24" s="2" t="inlineStr">
        <is>
          <t>No website exists, so no CAC number is published online; none seen in any directory snippet</t>
        </is>
      </c>
      <c r="X24" s="2" t="inlineStr"/>
      <c r="Y24" s="2" t="inlineStr"/>
      <c r="Z24" s="3" t="inlineStr"/>
      <c r="AA24" s="3" t="inlineStr"/>
      <c r="AB24" s="3" t="inlineStr"/>
      <c r="AC24" s="3" t="inlineStr"/>
      <c r="AD24" s="3" t="inlineStr"/>
    </row>
    <row r="25">
      <c r="A25" s="2" t="n">
        <v>24</v>
      </c>
      <c r="B25" s="2" t="inlineStr">
        <is>
          <t>B</t>
        </is>
      </c>
      <c r="C25" s="2" t="inlineStr">
        <is>
          <t>24/7 A/C Inc</t>
        </is>
      </c>
      <c r="D25" s="2" t="inlineStr"/>
      <c r="E25" s="2" t="inlineStr">
        <is>
          <t>Owner / license holder (name not published in any snippet)</t>
        </is>
      </c>
      <c r="F25" s="2" t="inlineStr">
        <is>
          <t>954-771-1001</t>
        </is>
      </c>
      <c r="G25" s="2" t="inlineStr"/>
      <c r="H25" s="2" t="inlineStr">
        <is>
          <t>Plantation</t>
        </is>
      </c>
      <c r="I25" s="2" t="inlineStr">
        <is>
          <t>Broward</t>
        </is>
      </c>
      <c r="J25" s="2" t="inlineStr">
        <is>
          <t>Marketing &amp; Website Makeover</t>
        </is>
      </c>
      <c r="K25" s="2" t="inlineStr">
        <is>
          <t>You've run 24/7 A/C out of Plantation as a family shop since 2006 and the owner is on every install, but your Yelp page shows no reviews and I couldn't find a way for a customer to book online, so twenty years of clean work isn't showing up where people look. A review-request engine and a booking widget on the site fixes that in a few weeks.</t>
        </is>
      </c>
      <c r="L25" s="2" t="inlineStr">
        <is>
          <t>Yelp listing (updated April 2026) shows no review count and no street address, i.e. no visible reviews; no online booking or CAC number appeared in any snippet; owner works every install (owner is the bottleneck); no maintenance-plan page seen</t>
        </is>
      </c>
      <c r="M25" s="2" t="inlineStr"/>
      <c r="N25" s="2" t="inlineStr">
        <is>
          <t>Yes - CareerSource Broward (90%)</t>
        </is>
      </c>
      <c r="O25" s="2" t="inlineStr">
        <is>
          <t>Small owner-operated shop; owner is on site for every install; headcount not published (likely under 10 people)</t>
        </is>
      </c>
      <c r="P25" s="2" t="inlineStr">
        <is>
          <t>2006</t>
        </is>
      </c>
      <c r="Q25" s="2" t="inlineStr">
        <is>
          <t>https://www.247acinc.com/</t>
        </is>
      </c>
      <c r="R25" s="2" t="inlineStr"/>
      <c r="S25" s="2" t="inlineStr">
        <is>
          <t>11311 NW 27 Street, Plantation, FL 33323</t>
        </is>
      </c>
      <c r="T25" s="2" t="inlineStr"/>
      <c r="U25" s="2" t="inlineStr"/>
      <c r="V25" s="2" t="inlineStr">
        <is>
          <t>Not seen in snippets (unverified)</t>
        </is>
      </c>
      <c r="W25" s="2" t="inlineStr">
        <is>
          <t>Not seen in any snippet (unverified; site could not be fetched)</t>
        </is>
      </c>
      <c r="X25" s="2" t="inlineStr"/>
      <c r="Y25" s="2" t="inlineStr"/>
      <c r="Z25" s="3" t="inlineStr"/>
      <c r="AA25" s="3" t="inlineStr"/>
      <c r="AB25" s="3" t="inlineStr"/>
      <c r="AC25" s="3" t="inlineStr"/>
      <c r="AD25" s="3" t="inlineStr"/>
    </row>
    <row r="26">
      <c r="A26" s="2" t="n">
        <v>25</v>
      </c>
      <c r="B26" s="2" t="inlineStr">
        <is>
          <t>B</t>
        </is>
      </c>
      <c r="C26" s="2" t="inlineStr">
        <is>
          <t>Abraham AC &amp; Heating Service, Inc.</t>
        </is>
      </c>
      <c r="D26" s="2" t="inlineStr"/>
      <c r="E26" s="2" t="inlineStr"/>
      <c r="F26" s="2" t="inlineStr">
        <is>
          <t>954-433-6504</t>
        </is>
      </c>
      <c r="G26" s="2" t="inlineStr"/>
      <c r="H26" s="2" t="inlineStr">
        <is>
          <t>Oakland Park</t>
        </is>
      </c>
      <c r="I26" s="2" t="inlineStr">
        <is>
          <t>Broward</t>
        </is>
      </c>
      <c r="J26" s="2" t="inlineStr">
        <is>
          <t>Operations Audit &amp; Strategic Roadmap</t>
        </is>
      </c>
      <c r="K26" s="2" t="inlineStr">
        <is>
          <t>You are hiring service techs at 80 to 120 thousand on commission and you have bolted plumbing and water heaters onto the AC side, and that is the exact stretch where dispatch, estimates and permits start slipping. I took a three-company AC merger in Pompano through the same growth and they hit their five-year numbers in two.</t>
        </is>
      </c>
      <c r="L26" s="2" t="inlineStr">
        <is>
          <t>Actively hiring commission-paid service techs (growth/turnover signal); added plumbing and water heaters to the AC business (new division); heavy programmatic city pages with duplicate URL patterns for the same city (/pembroke-pines/, /service-areas/pembroke-pines/, /ac-repair-pembroke-pines-fl-abraham-ac-hvac-services/) typical of SEO-agency churn; stale copy ('15+ years in the industry' on a company founded in 2003); only 24 HomeAdvisor reviews (5.0) for a 20-year, '5,000+ homeowners' company; the 954-433 number appears on the Pembroke Pines page while HQ is Oakland Park (possible tracking number, verify); no owner or team shown in snippets</t>
        </is>
      </c>
      <c r="M26" s="2" t="inlineStr"/>
      <c r="N26" s="2" t="inlineStr">
        <is>
          <t>Yes - CareerSource Broward (90%)</t>
        </is>
      </c>
      <c r="O26" s="2" t="inlineStr">
        <is>
          <t>Mid-size; est. 10-25 employees (inferred from multi-trade AC + plumbing, 24/7 coverage, commission-based tech hiring and 20+ city pages; no employee count found)</t>
        </is>
      </c>
      <c r="P26" s="2" t="inlineStr">
        <is>
          <t>2003</t>
        </is>
      </c>
      <c r="Q26" s="2" t="inlineStr">
        <is>
          <t>https://abrahamac.com/</t>
        </is>
      </c>
      <c r="R26" s="2" t="inlineStr"/>
      <c r="S26" s="2" t="inlineStr"/>
      <c r="T26" s="2" t="inlineStr"/>
      <c r="U26" s="2" t="inlineStr">
        <is>
          <t>None detected in snippets</t>
        </is>
      </c>
      <c r="V26" s="2" t="inlineStr">
        <is>
          <t>None seen in snippets</t>
        </is>
      </c>
      <c r="W26" s="2" t="inlineStr">
        <is>
          <t>Yes - CAC1822797 shown (compliant)</t>
        </is>
      </c>
      <c r="X26" s="2" t="inlineStr">
        <is>
          <t>Yes - Indeed: HVAC Service Technicians, $80,000-$120,000/yr with hourly pay, uncapped commission and performance bonuses (Broward County)</t>
        </is>
      </c>
      <c r="Y26" s="2" t="inlineStr"/>
      <c r="Z26" s="3" t="inlineStr"/>
      <c r="AA26" s="3" t="inlineStr"/>
      <c r="AB26" s="3" t="inlineStr"/>
      <c r="AC26" s="3" t="inlineStr"/>
      <c r="AD26" s="3" t="inlineStr"/>
    </row>
    <row r="27">
      <c r="A27" s="2" t="n">
        <v>26</v>
      </c>
      <c r="B27" s="2" t="inlineStr">
        <is>
          <t>B</t>
        </is>
      </c>
      <c r="C27" s="2" t="inlineStr">
        <is>
          <t>Absolute A/C &amp; Duct Repairs</t>
        </is>
      </c>
      <c r="D27" s="2" t="inlineStr">
        <is>
          <t>Aileen (last name not published)</t>
        </is>
      </c>
      <c r="E27" s="2" t="inlineStr">
        <is>
          <t>Owner</t>
        </is>
      </c>
      <c r="F27" s="2" t="inlineStr">
        <is>
          <t>(954) 438-9907</t>
        </is>
      </c>
      <c r="G27" s="2" t="inlineStr">
        <is>
          <t>(305) 733-7699</t>
        </is>
      </c>
      <c r="H27" s="2" t="inlineStr">
        <is>
          <t>Pembroke Pines</t>
        </is>
      </c>
      <c r="I27" s="2" t="inlineStr">
        <is>
          <t>Broward</t>
        </is>
      </c>
      <c r="J27" s="2" t="inlineStr">
        <is>
          <t>Marketing &amp; Website Makeover</t>
        </is>
      </c>
      <c r="K27" s="2" t="inlineStr">
        <is>
          <t>Aileen, your Nextdoor page shows a 954 number and Yelp shows a 305 number for Absolute A/C, and after 30-plus years in Pembroke Pines there are 12 Yelp reviews and no website coming up. Ann gets family shops one number everywhere, a simple site with the reviews and license on it, and a system that asks every happy customer for a review.</t>
        </is>
      </c>
      <c r="L27" s="2" t="inlineStr">
        <is>
          <t>1) Two different phone numbers across listings: (954) 438-9907 on Nextdoor vs (305) 733-7699 on Yelp (a Miami-Dade area code for a Pembroke Pines shop). 2) Only 12 Yelp reviews after 30+ years in business; no Google review count surfaced. 3) No company website surfaced in any search. 4) No CAC license number visible in listing snippets. 5) Business name spelled two ways across listings (Absolute A/C &amp; Duct Repairs vs Absolute AC &amp; Duct Repair).</t>
        </is>
      </c>
      <c r="M27" s="2" t="inlineStr"/>
      <c r="N27" s="2" t="inlineStr">
        <is>
          <t>Yes - CareerSource Broward (90%)</t>
        </is>
      </c>
      <c r="O27" s="2" t="inlineStr">
        <is>
          <t>Unknown; likely 1-5 (owner-run listings, 12 Yelp reviews in 30+ years, no employee count surfaced)</t>
        </is>
      </c>
      <c r="P27" s="2" t="inlineStr">
        <is>
          <t>1992</t>
        </is>
      </c>
      <c r="Q27" s="2" t="inlineStr"/>
      <c r="R27" s="2" t="inlineStr"/>
      <c r="S27" s="2" t="inlineStr"/>
      <c r="T27" s="2" t="inlineStr"/>
      <c r="U27" s="2" t="inlineStr"/>
      <c r="V27" s="2" t="inlineStr">
        <is>
          <t>None found (no website; Yelp and Nextdoor listings only)</t>
        </is>
      </c>
      <c r="W27" s="2" t="inlineStr">
        <is>
          <t>No website found; no CAC number shown in Yelp or Nextdoor snippets</t>
        </is>
      </c>
      <c r="X27" s="2" t="inlineStr"/>
      <c r="Y27" s="2" t="inlineStr"/>
      <c r="Z27" s="3" t="inlineStr"/>
      <c r="AA27" s="3" t="inlineStr"/>
      <c r="AB27" s="3" t="inlineStr"/>
      <c r="AC27" s="3" t="inlineStr"/>
      <c r="AD27" s="3" t="inlineStr"/>
    </row>
    <row r="28">
      <c r="A28" s="2" t="n">
        <v>27</v>
      </c>
      <c r="B28" s="2" t="inlineStr">
        <is>
          <t>B</t>
        </is>
      </c>
      <c r="C28" s="2" t="inlineStr">
        <is>
          <t>AIRCO Cooling &amp; Heating Inc</t>
        </is>
      </c>
      <c r="D28" s="2" t="inlineStr"/>
      <c r="E28" s="2" t="inlineStr"/>
      <c r="F28" s="2" t="inlineStr">
        <is>
          <t>(954) 925-1213</t>
        </is>
      </c>
      <c r="G28" s="2" t="inlineStr"/>
      <c r="H28" s="2" t="inlineStr">
        <is>
          <t>Hollywood</t>
        </is>
      </c>
      <c r="I28" s="2" t="inlineStr">
        <is>
          <t>Broward</t>
        </is>
      </c>
      <c r="J28" s="2" t="inlineStr">
        <is>
          <t>Marketing &amp; Website Makeover</t>
        </is>
      </c>
      <c r="K28" s="2" t="inlineStr">
        <is>
          <t>AIRCO has been fixing air conditioners in Hollywood since 1970, but online you have two Yelp reviews and no website, so 56 years of happy customers are not showing up anywhere. I build a simple review-request system and a site with your license number, your water-heater and pool work, and a book-now button so that history finally works for you.</t>
        </is>
      </c>
      <c r="L28" s="2" t="inlineStr">
        <is>
          <t>No website after 56 years in business; only 3 online reviews total (Yelp 3.0 stars from 2 reviews, Angi 5.0 from 1 review); not BBB accredited; listings split between Hollywood (Yelp) and Fort Lauderdale (BBB, Angi) = inconsistent citations; multi-trade services (water heaters, pool) with nothing online to sell them; 24/7 claim with no booking channel</t>
        </is>
      </c>
      <c r="M28" s="2" t="inlineStr"/>
      <c r="N28" s="2" t="inlineStr">
        <is>
          <t>Yes - CareerSource Broward (90%)</t>
        </is>
      </c>
      <c r="O28" s="2" t="inlineStr">
        <is>
          <t>Small shop, est. 3-10 employees (56-year-old res + commercial operation adding water heaters and pool work; no headcount shown)</t>
        </is>
      </c>
      <c r="P28" s="2" t="inlineStr">
        <is>
          <t>1970 (current owners purchased the business in 1990)</t>
        </is>
      </c>
      <c r="Q28" s="2" t="inlineStr">
        <is>
          <t>None found</t>
        </is>
      </c>
      <c r="R28" s="2" t="inlineStr"/>
      <c r="S28" s="2" t="inlineStr">
        <is>
          <t>Hollywood, FL 33020 (street address not shown in any snippet; BBB and Angi file the company under Fort Lauderdale)</t>
        </is>
      </c>
      <c r="T28" s="2" t="inlineStr"/>
      <c r="U28" s="2" t="inlineStr"/>
      <c r="V28" s="2" t="inlineStr">
        <is>
          <t>None seen; phone-only intake despite 24/7 claim</t>
        </is>
      </c>
      <c r="W28" s="2" t="inlineStr">
        <is>
          <t>No website exists; BuildZoom shows a licensed FL contractor (score 99, top 15% of 191,428 FL licensed contractors) but no CAC number appears in any snippet</t>
        </is>
      </c>
      <c r="X28" s="2" t="inlineStr"/>
      <c r="Y28" s="2" t="inlineStr"/>
      <c r="Z28" s="3" t="inlineStr"/>
      <c r="AA28" s="3" t="inlineStr"/>
      <c r="AB28" s="3" t="inlineStr"/>
      <c r="AC28" s="3" t="inlineStr"/>
      <c r="AD28" s="3" t="inlineStr"/>
    </row>
    <row r="29">
      <c r="A29" s="2" t="n">
        <v>28</v>
      </c>
      <c r="B29" s="2" t="inlineStr">
        <is>
          <t>B</t>
        </is>
      </c>
      <c r="C29" s="2" t="inlineStr">
        <is>
          <t>Carib Air Conditioning Services Inc</t>
        </is>
      </c>
      <c r="D29" s="2" t="inlineStr">
        <is>
          <t>Andrew Septimus James</t>
        </is>
      </c>
      <c r="E29" s="2" t="inlineStr">
        <is>
          <t>Owner / qualifying CAC license holder (DBPR: JAMES, ANDREW SEPTIMUS d/b/a Carib Air Conditioning Services Inc)</t>
        </is>
      </c>
      <c r="F29" s="2" t="inlineStr">
        <is>
          <t>(786) 393-0479</t>
        </is>
      </c>
      <c r="G29" s="2" t="inlineStr">
        <is>
          <t>(954) 455-1677 (older Yelp listing)</t>
        </is>
      </c>
      <c r="H29" s="2" t="inlineStr">
        <is>
          <t>Hallandale Beach</t>
        </is>
      </c>
      <c r="I29" s="2" t="inlineStr">
        <is>
          <t>Broward</t>
        </is>
      </c>
      <c r="J29" s="2" t="inlineStr">
        <is>
          <t>Marketing &amp; Website Makeover</t>
        </is>
      </c>
      <c r="K29" s="2" t="inlineStr">
        <is>
          <t>Andrew, Carib has two Yelp pages, one at 839 Foster and one at 840, with two different phone numbers and no reviews on either, and the company email is still an AOL address. I can merge the listings, get reviews flowing and put a book-now button on caribacservices.com in a few weeks, the same setup I built for a three-shop AC merger in Pompano.</t>
        </is>
      </c>
      <c r="L29" s="2" t="inlineStr">
        <is>
          <t>Business email is an aol.com address; two separate Yelp listings with two addresses (839 vs 840 Foster Rd) and two phone numbers (786 vs 954); no reviews surfaced on either Yelp page; office hours Mon-Fri 9-5 only; BBB profile exists but no accreditation or rating shown in snippets; no booking or maintenance-plan page seen</t>
        </is>
      </c>
      <c r="M29" s="2" t="inlineStr"/>
      <c r="N29" s="2" t="inlineStr">
        <is>
          <t>Yes - CareerSource Broward (90%)</t>
        </is>
      </c>
      <c r="O29" s="2" t="inlineStr">
        <is>
          <t>Likely 1-5 people (9-5 weekday hours, AOL email; no employee count surfaced)</t>
        </is>
      </c>
      <c r="P29" s="2" t="inlineStr">
        <is>
          <t>20+ years in business per directory snippet (exact year not shown)</t>
        </is>
      </c>
      <c r="Q29" s="2" t="inlineStr">
        <is>
          <t>caribacservices.com</t>
        </is>
      </c>
      <c r="R29" s="2" t="inlineStr">
        <is>
          <t>caribair@aol.com</t>
        </is>
      </c>
      <c r="S29" s="2" t="inlineStr">
        <is>
          <t>840 Foster Rd, Hallandale Beach, FL 33009 (a second Yelp listing shows 839 Foster Rd)</t>
        </is>
      </c>
      <c r="T29" s="2" t="inlineStr"/>
      <c r="U29" s="2" t="inlineStr"/>
      <c r="V29" s="2" t="inlineStr">
        <is>
          <t>Not seen in snippets</t>
        </is>
      </c>
      <c r="W29" s="2" t="inlineStr">
        <is>
          <t>DBPR shows an active Certified Air Conditioning Contractor license qualified by Andrew Septimus James; license number not visible in snippets and not confirmed on the website</t>
        </is>
      </c>
      <c r="X29" s="2" t="inlineStr"/>
      <c r="Y29" s="2" t="inlineStr"/>
      <c r="Z29" s="3" t="inlineStr"/>
      <c r="AA29" s="3" t="inlineStr"/>
      <c r="AB29" s="3" t="inlineStr"/>
      <c r="AC29" s="3" t="inlineStr"/>
      <c r="AD29" s="3" t="inlineStr"/>
    </row>
    <row r="30">
      <c r="A30" s="2" t="n">
        <v>29</v>
      </c>
      <c r="B30" s="2" t="inlineStr">
        <is>
          <t>B</t>
        </is>
      </c>
      <c r="C30" s="2" t="inlineStr">
        <is>
          <t>Central Air Solutions</t>
        </is>
      </c>
      <c r="D30" s="2" t="inlineStr"/>
      <c r="E30" s="2" t="inlineStr"/>
      <c r="F30" s="2" t="inlineStr">
        <is>
          <t>(954) 842-3040</t>
        </is>
      </c>
      <c r="G30" s="2" t="inlineStr"/>
      <c r="H30" s="2" t="inlineStr">
        <is>
          <t>Pembroke Pines</t>
        </is>
      </c>
      <c r="I30" s="2" t="inlineStr">
        <is>
          <t>Broward</t>
        </is>
      </c>
      <c r="J30" s="2" t="inlineStr">
        <is>
          <t>Operations Audit &amp; Strategic Roadmap</t>
        </is>
      </c>
      <c r="K30" s="2" t="inlineStr">
        <is>
          <t>Since 2017 you've grown Central Air Solutions into AC, ducts, insulation and appliances with close to 200 five-star reviews, and the usual next headache is knowing which of those four lines actually makes money and who owns each one. I sorted that out for a three-company HVAC merger in Pompano Beach (FMBS) and they hit their five-year targets in two.</t>
        </is>
      </c>
      <c r="L30" s="2" t="inlineStr">
        <is>
          <t>Closed Sundays and no 24-hour line while competitors advertise 24/7 (missed emergency calls); older directory shows a prior address (19246 NW 13th St) so some listings are stale; four service lines (AC, ducts, insulation, appliances) run from one office suite with no named manager per line; owner not named anywhere public; Yelp 4.6 with 50-53 reviews vs 198 on Birdeye (reviews concentrated in one tool)</t>
        </is>
      </c>
      <c r="M30" s="2" t="inlineStr"/>
      <c r="N30" s="2" t="inlineStr">
        <is>
          <t>Yes - CareerSource Broward (90%)</t>
        </is>
      </c>
      <c r="O30" s="2" t="inlineStr">
        <is>
          <t>Not published; four service lines and about 200 reviews since 2017 suggest roughly 8-20 people</t>
        </is>
      </c>
      <c r="P30" s="2" t="inlineStr">
        <is>
          <t>2017</t>
        </is>
      </c>
      <c r="Q30" s="2" t="inlineStr">
        <is>
          <t>https://central-airsolutions.com/</t>
        </is>
      </c>
      <c r="R30" s="2" t="inlineStr"/>
      <c r="S30" s="2" t="inlineStr">
        <is>
          <t>18503 Pines Blvd, Ste 310, Pembroke Pines, FL 33029</t>
        </is>
      </c>
      <c r="T30" s="2" t="inlineStr"/>
      <c r="U30" s="2" t="inlineStr">
        <is>
          <t>Birdeye (review management; 198 reviews, 5.0)</t>
        </is>
      </c>
      <c r="V30" s="2" t="inlineStr">
        <is>
          <t>Not seen in snippets (unverified)</t>
        </is>
      </c>
      <c r="W30" s="2" t="inlineStr">
        <is>
          <t>Not seen in any snippet (unverified)</t>
        </is>
      </c>
      <c r="X30" s="2" t="inlineStr"/>
      <c r="Y30" s="2" t="inlineStr"/>
      <c r="Z30" s="3" t="inlineStr"/>
      <c r="AA30" s="3" t="inlineStr"/>
      <c r="AB30" s="3" t="inlineStr"/>
      <c r="AC30" s="3" t="inlineStr"/>
      <c r="AD30" s="3" t="inlineStr"/>
    </row>
    <row r="31">
      <c r="A31" s="2" t="n">
        <v>30</v>
      </c>
      <c r="B31" s="2" t="inlineStr">
        <is>
          <t>B</t>
        </is>
      </c>
      <c r="C31" s="2" t="inlineStr">
        <is>
          <t>Cusano Air Conditioning &amp; Heating, Inc.</t>
        </is>
      </c>
      <c r="D31" s="2" t="inlineStr"/>
      <c r="E31" s="2" t="inlineStr"/>
      <c r="F31" s="2" t="inlineStr">
        <is>
          <t>(954) 472-8002</t>
        </is>
      </c>
      <c r="G31" s="2" t="inlineStr"/>
      <c r="H31" s="2" t="inlineStr">
        <is>
          <t>Davie</t>
        </is>
      </c>
      <c r="I31" s="2" t="inlineStr">
        <is>
          <t>Broward</t>
        </is>
      </c>
      <c r="J31" s="2" t="inlineStr">
        <is>
          <t>Systems + AI Enablement</t>
        </is>
      </c>
      <c r="K31" s="2" t="inlineStr">
        <is>
          <t>A Cusano customer wrote that they paid in full and the permit was never pulled at City Hall years later - one review like that costs more than a year of ads. At FMBS in Pompano, Ann built a permit-and-inspection tracker that fires off every open permit by job and tech, so nothing gets closed out until the city signs; it's a two-week fix inside whatever software you already run.</t>
        </is>
      </c>
      <c r="L31" s="2" t="inlineStr">
        <is>
          <t>July 2020 BuildZoom review: customer 'paid everything but they never went to take a permit at City Hall even after years' (no permit tracking); homepage title targets Miami commercial work while the shop sits in Davie and the site is a stack of city service-area pages (agency-SEO pattern); reviews live on Birdeye/BuildZoom/Yahoo rather than on the site; 954-472 main line is a Plantation-area exchange for a Davie shop (possible tracking/legacy number); owner name absent from web presence</t>
        </is>
      </c>
      <c r="M31" s="2" t="inlineStr"/>
      <c r="N31" s="2" t="inlineStr">
        <is>
          <t>Yes - CareerSource Broward (90%)</t>
        </is>
      </c>
      <c r="O31" s="2" t="inlineStr">
        <is>
          <t>Est. 5-20 employees (since 1998, 24/7 service, four-county marketing) - not sourced</t>
        </is>
      </c>
      <c r="P31" s="2" t="inlineStr">
        <is>
          <t>1998</t>
        </is>
      </c>
      <c r="Q31" s="2" t="inlineStr">
        <is>
          <t>cusanoairconditioning.com</t>
        </is>
      </c>
      <c r="R31" s="2" t="inlineStr"/>
      <c r="S31" s="2" t="inlineStr">
        <is>
          <t>Davie, FL 33314 (street address not in snippets)</t>
        </is>
      </c>
      <c r="T31" s="2" t="inlineStr">
        <is>
          <t>Google count not sourced; Birdeye 4.8 from 50 reviews; 4.8 from 37 reviews on another platform</t>
        </is>
      </c>
      <c r="U31" s="2" t="inlineStr"/>
      <c r="V31" s="2" t="inlineStr">
        <is>
          <t>Not seen in snippets</t>
        </is>
      </c>
      <c r="W31" s="2" t="inlineStr">
        <is>
          <t>Yes - CAC058078 shown on service-area pages</t>
        </is>
      </c>
      <c r="X31" s="2" t="inlineStr">
        <is>
          <t>Not seen in snippets</t>
        </is>
      </c>
      <c r="Y31" s="2" t="inlineStr"/>
      <c r="Z31" s="3" t="inlineStr"/>
      <c r="AA31" s="3" t="inlineStr"/>
      <c r="AB31" s="3" t="inlineStr"/>
      <c r="AC31" s="3" t="inlineStr"/>
      <c r="AD31" s="3" t="inlineStr"/>
    </row>
    <row r="32">
      <c r="A32" s="2" t="n">
        <v>31</v>
      </c>
      <c r="B32" s="2" t="inlineStr">
        <is>
          <t>B</t>
        </is>
      </c>
      <c r="C32" s="2" t="inlineStr">
        <is>
          <t>East Coast Air Conditioning &amp; Refrigeration, Inc.</t>
        </is>
      </c>
      <c r="D32" s="2" t="inlineStr"/>
      <c r="E32" s="2" t="inlineStr"/>
      <c r="F32" s="2" t="inlineStr">
        <is>
          <t>(954) 909-5884</t>
        </is>
      </c>
      <c r="G32" s="2" t="inlineStr"/>
      <c r="H32" s="2" t="inlineStr">
        <is>
          <t>Plantation</t>
        </is>
      </c>
      <c r="I32" s="2" t="inlineStr">
        <is>
          <t>Broward</t>
        </is>
      </c>
      <c r="J32" s="2" t="inlineStr">
        <is>
          <t>Marketing &amp; Website Makeover</t>
        </is>
      </c>
      <c r="K32" s="2" t="inlineStr">
        <is>
          <t>Your site at replacemyair.com says East Coast has served the community for over 100 years, but BBB shows you opened in 2007, and it advertises 24/7 while the hours say closed weekends; that's an agency template talking for you. I'd rather your 4.7 Google rating and real crew photos do the talking, with a book-now button and the license number where Florida wants it.</t>
        </is>
      </c>
      <c r="L32" s="2" t="inlineStr">
        <is>
          <t>Website copy says 'serving the community for over 100 years' while BBB shows established 2007 (template/agency copy); legal name differs from marketing domain replacemyair.com; paid PR Newswire release (March 2024) = agency-driven marketing; listed hours Mon-Fri 8am-8pm, closed weekends, while advertising 24/7 emergency service; BBB accreditation only since Dec 2021; no CAC number, booking widget or maintenance-plan page seen in snippets</t>
        </is>
      </c>
      <c r="M32" s="2" t="inlineStr"/>
      <c r="N32" s="2" t="inlineStr">
        <is>
          <t>Yes - CareerSource Broward (90%)</t>
        </is>
      </c>
      <c r="O32" s="2" t="inlineStr">
        <is>
          <t>1-10 employees (Apollo record); roughly 3-8 people</t>
        </is>
      </c>
      <c r="P32" s="2" t="inlineStr">
        <is>
          <t>2007 (BBB: in business 19 years; accredited since 12/8/2021)</t>
        </is>
      </c>
      <c r="Q32" s="2" t="inlineStr">
        <is>
          <t>replacemyair.com</t>
        </is>
      </c>
      <c r="R32" s="2" t="inlineStr"/>
      <c r="S32" s="2" t="inlineStr">
        <is>
          <t>991 S State Road 7, Ste E3, Plantation, FL 33317-4563</t>
        </is>
      </c>
      <c r="T32" s="2" t="inlineStr">
        <is>
          <t>4.7 / Count not shown in snippets (BestProsInTown aggregates 144 reviews)</t>
        </is>
      </c>
      <c r="U32" s="2" t="inlineStr"/>
      <c r="V32" s="2" t="inlineStr">
        <is>
          <t>Not seen in snippets</t>
        </is>
      </c>
      <c r="W32" s="2" t="inlineStr">
        <is>
          <t>Not visible in any search snippet</t>
        </is>
      </c>
      <c r="X32" s="2" t="inlineStr"/>
      <c r="Y32" s="2" t="inlineStr"/>
      <c r="Z32" s="3" t="inlineStr"/>
      <c r="AA32" s="3" t="inlineStr"/>
      <c r="AB32" s="3" t="inlineStr"/>
      <c r="AC32" s="3" t="inlineStr"/>
      <c r="AD32" s="3" t="inlineStr"/>
    </row>
    <row r="33">
      <c r="A33" s="2" t="n">
        <v>32</v>
      </c>
      <c r="B33" s="2" t="inlineStr">
        <is>
          <t>B</t>
        </is>
      </c>
      <c r="C33" s="2" t="inlineStr">
        <is>
          <t>Fahrenheit A/C, Inc. (Fahrenheit AC)</t>
        </is>
      </c>
      <c r="D33" s="2" t="inlineStr">
        <is>
          <t>Olbry Ambroise</t>
        </is>
      </c>
      <c r="E33" s="2" t="inlineStr">
        <is>
          <t>Owner (BBB principal, listed as Mr. Olbry Ambroise)</t>
        </is>
      </c>
      <c r="F33" s="2" t="inlineStr">
        <is>
          <t>(954) 793-8610</t>
        </is>
      </c>
      <c r="G33" s="2" t="inlineStr"/>
      <c r="H33" s="2" t="inlineStr">
        <is>
          <t>Fort Lauderdale / North Lauderdale</t>
        </is>
      </c>
      <c r="I33" s="2" t="inlineStr">
        <is>
          <t>Broward</t>
        </is>
      </c>
      <c r="J33" s="2" t="inlineStr">
        <is>
          <t>Marketing &amp; Website Makeover</t>
        </is>
      </c>
      <c r="K33" s="2" t="inlineStr">
        <is>
          <t>Mr. Ambroise, Fahrenheit has served Broward since 1990 but shows only about 77 reviews online, and I couldn't find a book-online button or your license number in your listings. I put a review-request routine and a booking page in place for a Pompano HVAC group (FMBS) during a rebuild that hit their 5-year goals in 2 years - the review piece alone takes about two weeks.</t>
        </is>
      </c>
      <c r="L33" s="2" t="inlineStr">
        <is>
          <t>(1) Only about 77 reviews at 4.5 after 35 years in business - no review-request engine. (2) No online booking seen; phone-only intake Mon-Fri 8-5. (3) No CAC license number visible in any search snippet of the site. (4) BBB profile mis-categorized as 'Air Compressors' and filed under North Lauderdale while the site says Fort Lauderdale; two different street addresses in directories. (5) Template city-SEO pages (Hollywood, Deerfield, Parkland, Pompano) suggest an agency-built site.</t>
        </is>
      </c>
      <c r="M33" s="2" t="inlineStr">
        <is>
          <t>Phone: confirmed | Owner: confirmed, single source (BBB principal only) | Independent: Family-owned and operated since 1990 per site (directories say 25-35 years); no acquisition, PE, consolidator or franchise language found. Name-collision caution: 'Fahrenheit Heating &amp; AC LLC' (Seminole, FL, fahrenheitheatac.com) and 'Fahrenheit Heating &amp; Air' (fahrenheithvacfl.com) are different companies that appear in the same searches. Dedicated 'acquired'/'partners with' searches could not be run (budget exhausted).</t>
        </is>
      </c>
      <c r="N33" s="2" t="inlineStr">
        <is>
          <t>Yes - CareerSource Broward (90%)</t>
        </is>
      </c>
      <c r="O33" s="2" t="inlineStr">
        <is>
          <t>Est. 5-12 employees / 3-6 trucks: 35-year family shop working from a small unit (Unit 311B), 77 reviews, Mon-Fri 8-5 office hours; headcount not published</t>
        </is>
      </c>
      <c r="P33" s="2" t="inlineStr">
        <is>
          <t>1990 (site: 'serving South East Florida since 1990'; directories: 35 years in business)</t>
        </is>
      </c>
      <c r="Q33" s="2" t="inlineStr">
        <is>
          <t>https://fahrenheitacfl.com/</t>
        </is>
      </c>
      <c r="R33" s="2" t="inlineStr">
        <is>
          <t>service@fahrenheitacfl.com</t>
        </is>
      </c>
      <c r="S33" s="2" t="inlineStr">
        <is>
          <t>4000 FL-7 (State Road 7), Unit 311B, Fort Lauderdale, FL 33319 (site contact page); Yellow Pages also lists 1005 N Santa Catalina Cir, North Lauderdale, FL 33068, and BBB files the company under North Lauderdale</t>
        </is>
      </c>
      <c r="T33" s="2" t="inlineStr">
        <is>
          <t>4.5 (per hvacservice.io aggregator; platform not confirmed as Google) / 77 (same aggregator)</t>
        </is>
      </c>
      <c r="U33" s="2" t="inlineStr"/>
      <c r="V33" s="2" t="inlineStr">
        <is>
          <t>Not seen in snippets; contact page shows phone and Mon-Fri 8am-5pm hours only</t>
        </is>
      </c>
      <c r="W33" s="2" t="inlineStr">
        <is>
          <t>Not seen in any search snippet of the site (unverified)</t>
        </is>
      </c>
      <c r="X33" s="2" t="inlineStr">
        <is>
          <t>Not found in search results</t>
        </is>
      </c>
      <c r="Y33" s="2" t="inlineStr">
        <is>
          <t>BBB files the company in North Lauderdale under the odd category 'Air Compressors'; BBB rating/accreditation not visible in snippets. Reputation: 4.5 stars from 77 reviews (hvacservice.io / nears.me aggregates); a review anecdote says the owner personally returned calls within an hour during a cold snap and dispatched same day — owner is still on the phones. 24-hour emergency service; office hours M-F 8-5; email service@fahrenheitacfl.com; city SEO pages for Hollywood, Oakland Park, Lighthouse Point, Parkland, Pompano, Deerfield, North Lauderdale, Lake Worth. No hiring signals. Researcher's own confidence was medium; nothing found that contradicts the record, but owner and address each rest on one third-party source.</t>
        </is>
      </c>
      <c r="Z33" s="3" t="inlineStr"/>
      <c r="AA33" s="3" t="inlineStr"/>
      <c r="AB33" s="3" t="inlineStr"/>
      <c r="AC33" s="3" t="inlineStr"/>
      <c r="AD33" s="3" t="inlineStr"/>
    </row>
    <row r="34">
      <c r="A34" s="2" t="n">
        <v>33</v>
      </c>
      <c r="B34" s="2" t="inlineStr">
        <is>
          <t>B</t>
        </is>
      </c>
      <c r="C34" s="2" t="inlineStr">
        <is>
          <t>Southeast Cooling and Heating</t>
        </is>
      </c>
      <c r="D34" s="2" t="inlineStr">
        <is>
          <t>Todd (last name not published)</t>
        </is>
      </c>
      <c r="E34" s="2" t="inlineStr">
        <is>
          <t>Owner (named by customers in reviews)</t>
        </is>
      </c>
      <c r="F34" s="2" t="inlineStr">
        <is>
          <t>(954) 224-5033</t>
        </is>
      </c>
      <c r="G34" s="2" t="inlineStr"/>
      <c r="H34" s="2" t="inlineStr">
        <is>
          <t>Sunrise</t>
        </is>
      </c>
      <c r="I34" s="2" t="inlineStr">
        <is>
          <t>Broward</t>
        </is>
      </c>
      <c r="J34" s="2" t="inlineStr">
        <is>
          <t>Systems + AI Enablement</t>
        </is>
      </c>
      <c r="K34" s="2" t="inlineStr">
        <is>
          <t>Todd, your customers name you and the same three techs in almost every review, which tells me you're running the trucks and the office at the same time. Setting up Housecall Pro with automatic estimate follow-up and QuickBooks tied in is how a four-man shop gets to eight without the owner living on the phone.</t>
        </is>
      </c>
      <c r="L34" s="2" t="inlineStr">
        <is>
          <t>Only 22-23 Yelp reviews (4.7) and 19 reviews (5.0) on a second directory after 15+ years; owner Todd is working calls himself (named in most reviews); Facebook page plus basic site; no CAC number, booking link or maintenance plan seen in snippets</t>
        </is>
      </c>
      <c r="M34" s="2" t="inlineStr"/>
      <c r="N34" s="2" t="inlineStr">
        <is>
          <t>Yes - CareerSource Broward (90%)</t>
        </is>
      </c>
      <c r="O34" s="2" t="inlineStr">
        <is>
          <t>Owner plus 3 technicians named in reviews; roughly 4-6 people, 2-3 trucks</t>
        </is>
      </c>
      <c r="P34" s="2" t="inlineStr">
        <is>
          <t>Not published; 'over 15 years of experience' claimed</t>
        </is>
      </c>
      <c r="Q34" s="2" t="inlineStr">
        <is>
          <t>https://southeastcoolingandheating.com/</t>
        </is>
      </c>
      <c r="R34" s="2" t="inlineStr"/>
      <c r="S34" s="2" t="inlineStr">
        <is>
          <t>4777 NW 103rd Ave, Sunrise, FL</t>
        </is>
      </c>
      <c r="T34" s="2" t="inlineStr"/>
      <c r="U34" s="2" t="inlineStr"/>
      <c r="V34" s="2" t="inlineStr">
        <is>
          <t>Not seen in snippets (unverified)</t>
        </is>
      </c>
      <c r="W34" s="2" t="inlineStr">
        <is>
          <t>Not seen in any snippet (unverified)</t>
        </is>
      </c>
      <c r="X34" s="2" t="inlineStr"/>
      <c r="Y34" s="2" t="inlineStr"/>
      <c r="Z34" s="3" t="inlineStr"/>
      <c r="AA34" s="3" t="inlineStr"/>
      <c r="AB34" s="3" t="inlineStr"/>
      <c r="AC34" s="3" t="inlineStr"/>
      <c r="AD34" s="3" t="inlineStr"/>
    </row>
    <row r="35">
      <c r="A35" s="2" t="n">
        <v>34</v>
      </c>
      <c r="B35" s="2" t="inlineStr">
        <is>
          <t>B</t>
        </is>
      </c>
      <c r="C35" s="2" t="inlineStr">
        <is>
          <t>Stay Cool HVAC In Florida LLC</t>
        </is>
      </c>
      <c r="D35" s="2" t="inlineStr"/>
      <c r="E35" s="2" t="inlineStr"/>
      <c r="F35" s="2" t="inlineStr">
        <is>
          <t>(954) 477-2190</t>
        </is>
      </c>
      <c r="G35" s="2" t="inlineStr"/>
      <c r="H35" s="2" t="inlineStr">
        <is>
          <t>Hollywood</t>
        </is>
      </c>
      <c r="I35" s="2" t="inlineStr">
        <is>
          <t>Broward</t>
        </is>
      </c>
      <c r="J35" s="2" t="inlineStr">
        <is>
          <t>Marketing &amp; Website Makeover</t>
        </is>
      </c>
      <c r="K35" s="2" t="inlineStr">
        <is>
          <t>You've put out press releases and 49 photos on Yelp since you started Stay Cool in 2023, but the Yelp page still shows no reviews and I couldn't find your CAC number on the ads. A review-request text after every job and the license on the site is the cheapest fix there is; it's the first thing I built for the three-shop AC merger in Pompano before they doubled.</t>
        </is>
      </c>
      <c r="L35" s="2" t="inlineStr">
        <is>
          <t>Yelp page has 49 photos but no review count shown (likely zero reviews); paid EIN Presswire release and HomeAdvisor lead profile = agency/lead-buying marketing; no CAC number in any snippet; no owner named anywhere online; duplicate thin directory profiles (about.me, BuzzBoard, SouthFloridaContractors); 24/7 claim with no visible dispatch system</t>
        </is>
      </c>
      <c r="M35" s="2" t="inlineStr"/>
      <c r="N35" s="2" t="inlineStr">
        <is>
          <t>Yes - CareerSource Broward (90%)</t>
        </is>
      </c>
      <c r="O35" s="2" t="inlineStr">
        <is>
          <t>Likely 1-5 people (2023 start-up; no employee count surfaced)</t>
        </is>
      </c>
      <c r="P35" s="2" t="inlineStr">
        <is>
          <t>2023 (Sunbiz LLC document L23000239307)</t>
        </is>
      </c>
      <c r="Q35" s="2" t="inlineStr">
        <is>
          <t>staycoolinflorida.com</t>
        </is>
      </c>
      <c r="R35" s="2" t="inlineStr"/>
      <c r="S35" s="2" t="inlineStr">
        <is>
          <t>3930 N 56th Ave, Hollywood, FL 33021</t>
        </is>
      </c>
      <c r="T35" s="2" t="inlineStr"/>
      <c r="U35" s="2" t="inlineStr"/>
      <c r="V35" s="2" t="inlineStr">
        <is>
          <t>Not seen in snippets</t>
        </is>
      </c>
      <c r="W35" s="2" t="inlineStr">
        <is>
          <t>Not visible in any search snippet</t>
        </is>
      </c>
      <c r="X35" s="2" t="inlineStr"/>
      <c r="Y35" s="2" t="inlineStr"/>
      <c r="Z35" s="3" t="inlineStr"/>
      <c r="AA35" s="3" t="inlineStr"/>
      <c r="AB35" s="3" t="inlineStr"/>
      <c r="AC35" s="3" t="inlineStr"/>
      <c r="AD35" s="3" t="inlineStr"/>
    </row>
    <row r="36">
      <c r="A36" s="2" t="n">
        <v>35</v>
      </c>
      <c r="B36" s="2" t="inlineStr">
        <is>
          <t>B</t>
        </is>
      </c>
      <c r="C36" s="2" t="inlineStr">
        <is>
          <t>Stream Cold Air Corp</t>
        </is>
      </c>
      <c r="D36" s="2" t="inlineStr">
        <is>
          <t>Rafael Silva</t>
        </is>
      </c>
      <c r="E36" s="2" t="inlineStr">
        <is>
          <t>Founder / Owner / Lead Technician</t>
        </is>
      </c>
      <c r="F36" s="2" t="inlineStr">
        <is>
          <t>(954) 234-3863</t>
        </is>
      </c>
      <c r="G36" s="2" t="inlineStr"/>
      <c r="H36" s="2" t="inlineStr">
        <is>
          <t>Deerfield Beach</t>
        </is>
      </c>
      <c r="I36" s="2" t="inlineStr">
        <is>
          <t>Broward</t>
        </is>
      </c>
      <c r="J36" s="2" t="inlineStr">
        <is>
          <t>Systems + AI Enablement</t>
        </is>
      </c>
      <c r="K36" s="2" t="inlineStr">
        <is>
          <t>Rafael, every review of Stream Cold Air mentions you personally on the truck - great for customers, but it means nobody is booking, quoting or following up while you're in an attic, and the website only has a request form. I set up booking and follow-up for a three-shop HVAC merger in Pompano (FMBS) so the owners could get off the phone; a basic Housecall Pro or Jobber build would do that for you.</t>
        </is>
      </c>
      <c r="L36" s="2" t="inlineStr">
        <is>
          <t>(1) Owner is the lead technician - reviews name Rafael on the truck, so sales, dispatch and wrenching sit on one person. (2) Only ~89 reviews after ~10 years (under 10 a year) and just 1 Yelp review. (3) No online booking - request form only. (4) Phones Mon-Sat 8-6, no after-hours capture. (5) No careers / hiring page - growth capped by the owner's hours. (6) Typo in site page titles ('#1 Best HVAC Reoair') - low-cost DIY web presence. (7) BBB A+ but not accredited.</t>
        </is>
      </c>
      <c r="M36" s="2" t="inlineStr">
        <is>
          <t>Phone: confirmed | Owner: confirmed | Independent: confirmed - owner-operated corporation established 2016, license CAC 1819845, BBB A+ but NOT accredited; no acquisition, partnership, PE or franchise hits. Synchrony financing is a vendor program, not ownership</t>
        </is>
      </c>
      <c r="N36" s="2" t="inlineStr">
        <is>
          <t>Yes - CareerSource Broward (90%)</t>
        </is>
      </c>
      <c r="O36" s="2" t="inlineStr">
        <is>
          <t>Very small, roughly 2-6 people / 1-3 trucks (owner is the lead tech; 'owner-operated'; under 100 reviews after ~10 years)</t>
        </is>
      </c>
      <c r="P36" s="2" t="inlineStr">
        <is>
          <t>2016 (per company listings; 'more than 10 years of experience')</t>
        </is>
      </c>
      <c r="Q36" s="2" t="inlineStr">
        <is>
          <t>https://streamcoldair.com/</t>
        </is>
      </c>
      <c r="R36" s="2" t="inlineStr"/>
      <c r="S36" s="2" t="inlineStr">
        <is>
          <t>1130 S Powerline Rd, Suite 105A, Deerfield Beach, FL 33442</t>
        </is>
      </c>
      <c r="T36" s="2" t="inlineStr">
        <is>
          <t>5.0 (per directory listings) / Not isolated; Birdeye aggregate shows 89 reviews at 5.0, Yelp 1 review, HomeAdvisor/Angi 4.9 on 6 reviews</t>
        </is>
      </c>
      <c r="U36" s="2" t="inlineStr">
        <is>
          <t>Birdeye (review collection); Synchrony financing portal</t>
        </is>
      </c>
      <c r="V36" s="2" t="inlineStr">
        <is>
          <t>No - 'Request a Service' form only; no scheduling software link seen</t>
        </is>
      </c>
      <c r="W36" s="2" t="inlineStr">
        <is>
          <t>Yes - CAC 1819845 shown on website</t>
        </is>
      </c>
      <c r="X36" s="2" t="inlineStr">
        <is>
          <t>Not seen - no careers page found</t>
        </is>
      </c>
      <c r="Y36" s="2" t="inlineStr">
        <is>
          <t>Genuinely small owner-in-the-field shop: Birdeye 5.0 (89 reviews), 5.0 across 87 reviews on another aggregator, HomeAdvisor/Angi 4.9 (6), Yelp 5.0 (1). Hours Mon-Sat 8-6 only (no after-hours line). Team speaks English, Spanish and Portuguese. Offers maintenance plans, commercial maintenance, duct cleaning and HVAC financing; online service-request form on site. No hiring or careers signals. Sunbiz search returned an unrelated 'Silva Communications Inc' (Farley Silva, Deerfield Beach) - do not confuse. Verification basis: cached Nextdoor, Yelp, Birdeye, HomeAdvisor and company-contact snippets; no live lookups possible.</t>
        </is>
      </c>
      <c r="Z36" s="3" t="inlineStr"/>
      <c r="AA36" s="3" t="inlineStr"/>
      <c r="AB36" s="3" t="inlineStr"/>
      <c r="AC36" s="3" t="inlineStr"/>
      <c r="AD36" s="3" t="inlineStr"/>
    </row>
    <row r="37">
      <c r="A37" s="2" t="n">
        <v>36</v>
      </c>
      <c r="B37" s="2" t="inlineStr">
        <is>
          <t>B</t>
        </is>
      </c>
      <c r="C37" s="2" t="inlineStr">
        <is>
          <t>The Best Air Conditioning Company</t>
        </is>
      </c>
      <c r="D37" s="2" t="inlineStr"/>
      <c r="E37" s="2" t="inlineStr"/>
      <c r="F37" s="2" t="inlineStr">
        <is>
          <t>(954) 341-9722</t>
        </is>
      </c>
      <c r="G37" s="2" t="inlineStr"/>
      <c r="H37" s="2" t="inlineStr">
        <is>
          <t>Coral Springs</t>
        </is>
      </c>
      <c r="I37" s="2" t="inlineStr">
        <is>
          <t>Broward</t>
        </is>
      </c>
      <c r="J37" s="2" t="inlineStr">
        <is>
          <t>Marketing &amp; Website Makeover</t>
        </is>
      </c>
      <c r="K37" s="2" t="inlineStr">
        <is>
          <t>After 56 years in Coral Springs you show up online three different ways: 'Best Air Conditioning' on Yelp, a Pompano Beach address on Nextdoor, and two separate Facebook pages, with about 26 reviews total. Straightening that out and turning on a review-request system is a short job; I did it as part of rebuilding a three-company Pompano shop that hit its 5-year numbers in 2.</t>
        </is>
      </c>
      <c r="L37" s="2" t="inlineStr">
        <is>
          <t>Two separate Facebook pages (facebook.com/thebestairconditioning and /thebestairconditioningcompany); listed as 'Best Air Conditioning' on Yelp vs 'The Best Air Conditioning Company' on BBB and site; Nextdoor page slug places the business in Pompano Beach; only about 26 reviews after 56 years; no CAC number visible in snippets; closed Sundays with no 24/7 line advertised; no booking or maintenance-plan page seen</t>
        </is>
      </c>
      <c r="M37" s="2" t="inlineStr"/>
      <c r="N37" s="2" t="inlineStr">
        <is>
          <t>Yes - CareerSource Broward (90%)</t>
        </is>
      </c>
      <c r="O37" s="2" t="inlineStr">
        <is>
          <t>Likely small (est. 3-10 employees): 56-year single-location shop with about 26 reviews; not confirmed</t>
        </is>
      </c>
      <c r="P37" s="2" t="inlineStr">
        <is>
          <t>1970</t>
        </is>
      </c>
      <c r="Q37" s="2" t="inlineStr">
        <is>
          <t>https://thebestairconditioning.com</t>
        </is>
      </c>
      <c r="R37" s="2" t="inlineStr"/>
      <c r="S37" s="2" t="inlineStr">
        <is>
          <t>3685 NW 124th Ave, Coral Springs, FL 33065</t>
        </is>
      </c>
      <c r="T37" s="2" t="inlineStr">
        <is>
          <t>4.7 (26 reviews per search summary; platform not confirmed as Google) / 26 (platform not confirmed); Yelp 18 reviews / 28 photos</t>
        </is>
      </c>
      <c r="U37" s="2" t="inlineStr"/>
      <c r="V37" s="2" t="inlineStr">
        <is>
          <t>Not seen in search snippets (site could not be fetched)</t>
        </is>
      </c>
      <c r="W37" s="2" t="inlineStr">
        <is>
          <t>Not seen in search snippets</t>
        </is>
      </c>
      <c r="X37" s="2" t="inlineStr">
        <is>
          <t>Not seen</t>
        </is>
      </c>
      <c r="Y37" s="2" t="inlineStr"/>
      <c r="Z37" s="3" t="inlineStr"/>
      <c r="AA37" s="3" t="inlineStr"/>
      <c r="AB37" s="3" t="inlineStr"/>
      <c r="AC37" s="3" t="inlineStr"/>
      <c r="AD37" s="3" t="inlineStr"/>
    </row>
    <row r="38">
      <c r="A38" s="2" t="n">
        <v>37</v>
      </c>
      <c r="B38" s="2" t="inlineStr">
        <is>
          <t>B</t>
        </is>
      </c>
      <c r="C38" s="2" t="inlineStr">
        <is>
          <t>Ask For Cool Air Conditioning, Inc.</t>
        </is>
      </c>
      <c r="D38" s="2" t="inlineStr"/>
      <c r="E38" s="2" t="inlineStr"/>
      <c r="F38" s="2" t="inlineStr"/>
      <c r="G38" s="2" t="inlineStr"/>
      <c r="H38" s="2" t="inlineStr">
        <is>
          <t>Sunrise</t>
        </is>
      </c>
      <c r="I38" s="2" t="inlineStr">
        <is>
          <t>Broward</t>
        </is>
      </c>
      <c r="J38" s="2" t="inlineStr">
        <is>
          <t>Systems + AI Enablement</t>
        </is>
      </c>
      <c r="K38" s="2" t="inlineStr">
        <is>
          <t>Saw your Indeed post for a service tech at $23-26 an hour with the average tech clearing $80k; that only pencils out if dispatch and job costing are tight and the new hire is productive fast. I rebuilt a three-shop HVAC merger in Pompano Beach (FMBS) around exactly that: booking, inventory, techs trained and tracked, and they hit their five-year numbers in two.</t>
        </is>
      </c>
      <c r="L38" s="2" t="inlineStr">
        <is>
          <t>No phone number surfaced in any search snippet (contact friction); programmatic service-area pages (hvac-services-sunrise-fl, hvac-services-pembroke-pines-fl) indicate a template/agency SEO site; Apollo record only created Jun 2025 = thin digital footprint; no review counts surfaced; $23-26/hr base against an '$80k average tech' claim implies commission/spiff pay that only works with tight dispatch and job costing</t>
        </is>
      </c>
      <c r="M38" s="2" t="inlineStr"/>
      <c r="N38" s="2" t="inlineStr">
        <is>
          <t>Yes - CareerSource Broward (90%)</t>
        </is>
      </c>
      <c r="O38" s="2" t="inlineStr">
        <is>
          <t>1-10 employees per Apollo record; actively hiring a service technician, so est. 3-8 staff / 2-4 trucks</t>
        </is>
      </c>
      <c r="P38" s="2" t="inlineStr">
        <is>
          <t>Not stated; site says 'more than a decade of experience' (roughly 2015 or earlier). Apollo organization record created Jun 2025</t>
        </is>
      </c>
      <c r="Q38" s="2" t="inlineStr">
        <is>
          <t>askforcool.com</t>
        </is>
      </c>
      <c r="R38" s="2" t="inlineStr"/>
      <c r="S38" s="2" t="inlineStr">
        <is>
          <t>Sunrise, FL 33351 (street address not shown in any snippet)</t>
        </is>
      </c>
      <c r="T38" s="2" t="inlineStr"/>
      <c r="U38" s="2" t="inlineStr"/>
      <c r="V38" s="2" t="inlineStr"/>
      <c r="W38" s="2" t="inlineStr"/>
      <c r="X38" s="2" t="inlineStr">
        <is>
          <t>Yes. Indeed: HVAC Service/Maintenance Technician, full-time, $23-26/hr, 'average tech makes $80k a year', requires 5+ years HVAC service experience plus licenses/certifications, Sunrise FL 33351</t>
        </is>
      </c>
      <c r="Y38" s="2" t="inlineStr"/>
      <c r="Z38" s="3" t="inlineStr"/>
      <c r="AA38" s="3" t="inlineStr"/>
      <c r="AB38" s="3" t="inlineStr"/>
      <c r="AC38" s="3" t="inlineStr"/>
      <c r="AD38" s="3" t="inlineStr"/>
    </row>
    <row r="39">
      <c r="A39" s="2" t="n">
        <v>38</v>
      </c>
      <c r="B39" s="2" t="inlineStr">
        <is>
          <t>B</t>
        </is>
      </c>
      <c r="C39" s="2" t="inlineStr">
        <is>
          <t>O'Brien Air Conditioning &amp; Construction Services</t>
        </is>
      </c>
      <c r="D39" s="2" t="inlineStr"/>
      <c r="E39" s="2" t="inlineStr"/>
      <c r="F39" s="2" t="inlineStr">
        <is>
          <t>(954) 205-1381</t>
        </is>
      </c>
      <c r="G39" s="2" t="inlineStr"/>
      <c r="H39" s="2" t="inlineStr">
        <is>
          <t>Fort Lauderdale</t>
        </is>
      </c>
      <c r="I39" s="2" t="inlineStr">
        <is>
          <t>Broward</t>
        </is>
      </c>
      <c r="J39" s="2" t="inlineStr">
        <is>
          <t>Systems + AI Enablement</t>
        </is>
      </c>
      <c r="K39" s="2" t="inlineStr">
        <is>
          <t>You're hiring commercial service techs at $35-40 an hour, which usually means jobs are coming in faster than the estimates, change orders and permits can keep up across the HVAC and construction sides. I built those systems for a Pompano HVAC group (FMBS) that hit its 5-year goals in 2 years, and CareerSource Broward will cover 90% of training for your office staff and new techs.</t>
        </is>
      </c>
      <c r="L39" s="2" t="inlineStr">
        <is>
          <t>Yelp listing is a bare 'request a quote' page with few or no reviews after 14 years; no Google review count surfaced; actively hiring commercial service techs at $35-40/hr (growth strain on office and dispatch); HVAC plus construction scope means estimates, change orders and permits across two trades; owner name and street address not published in search results.</t>
        </is>
      </c>
      <c r="M39" s="2" t="inlineStr">
        <is>
          <t>Phone: confirmed | Owner: unverifiable | Independent: Appears to be a small independent commercial/residential HVAC contractor; no acquisition, PE, consolidator or franchise language found. Yelp says 14 years in business (~2011-12), while the Florida corporation that surfaced in a Sunbiz officer search is P17000030794 (filed 2017) — possible reincorporation. Name-collision caution: T.F. O'Brien (tfobrien.com, New York) and O'Brien Heat And Air (obrienheatandair.com) are unrelated companies in the same search results. Dedicated 'acquired'/'partners with' searches could not be run (budget exhausted).</t>
        </is>
      </c>
      <c r="N39" s="2" t="inlineStr">
        <is>
          <t>Yes - CareerSource Broward (90%)</t>
        </is>
      </c>
      <c r="O39" s="2" t="inlineStr">
        <is>
          <t>Est. 5-20 employees: 14-year commercial HVAC plus construction contractor actively adding service techs; headcount not published</t>
        </is>
      </c>
      <c r="P39" s="2" t="inlineStr">
        <is>
          <t>About 2011-2012 (Yelp: 14 years in business)</t>
        </is>
      </c>
      <c r="Q39" s="2" t="inlineStr">
        <is>
          <t>obrienac.com</t>
        </is>
      </c>
      <c r="R39" s="2" t="inlineStr"/>
      <c r="S39" s="2" t="inlineStr"/>
      <c r="T39" s="2" t="inlineStr"/>
      <c r="U39" s="2" t="inlineStr"/>
      <c r="V39" s="2" t="inlineStr">
        <is>
          <t>Not verified (Yelp page is 'request a quote' only)</t>
        </is>
      </c>
      <c r="W39" s="2" t="inlineStr">
        <is>
          <t>Not verified</t>
        </is>
      </c>
      <c r="X39" s="2" t="inlineStr">
        <is>
          <t>Yes - commercial HVAC service technicians at $35-40/hr (per discovery pass)</t>
        </is>
      </c>
      <c r="Y39" s="2" t="inlineStr">
        <is>
          <t>OWNER LEAD (unverified, do not use as a name on the call without checking Sunbiz): a Sunbiz 'Detail by Officer/Registered Agent Name' result appeared in the search results whose URL parameters reference officer name 'O'Brien, Brandy' on entity P17000030794 and the search term 'O'Brien, Brian K' — this suggests Brandy O'Brien and/or Brian K. O'Brien are officers of the 2017 corporation behind the business, but the names come from a URL, not a page snippet. HIRING NOW: 'HVAC Service Technician - Commercial HVAC' at $35-40/hr, minimum 5 years commercial experience (Indeed snippet; reposted on bebee/Appcast) — a commercial-focused shop scaling its service team. Yelp page is 'Request a Quote' with no review count shown (thin review profile); HomeAdvisor, BuildZoom and Alignable listings exist. Services include hot water heaters, WiFi/smart thermostats, ductless, duct repair/sealing/cleaning, emergency service. Lowest-confidence record of the eight: phone and address each rest on one directory source.</t>
        </is>
      </c>
      <c r="Z39" s="3" t="inlineStr"/>
      <c r="AA39" s="3" t="inlineStr"/>
      <c r="AB39" s="3" t="inlineStr"/>
      <c r="AC39" s="3" t="inlineStr"/>
      <c r="AD39" s="3" t="inlineStr"/>
    </row>
  </sheetData>
  <autoFilter ref="A1:AD39"/>
  <conditionalFormatting sqref="A2:AD39">
    <cfRule type="expression" priority="1" dxfId="0">
      <formula>$B2="A"</formula>
    </cfRule>
    <cfRule type="expression" priority="2" dxfId="1">
      <formula>$B2="B"</formula>
    </cfRule>
  </conditionalFormatting>
  <dataValidations count="2">
    <dataValidation sqref="AA2:AA200" showDropDown="0" showInputMessage="0" showErrorMessage="0" allowBlank="1" type="list">
      <formula1>"Voicemail,Spoke - Gatekeeper,Spoke - Owner,Booked Leak Check,Send Info,Call Back,Not Interested,Wrong Number"</formula1>
    </dataValidation>
    <dataValidation sqref="Z2:Z200"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1"/>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6" customWidth="1" min="1" max="1"/>
    <col width="30" customWidth="1" min="2" max="2"/>
    <col width="12" customWidth="1" min="3" max="3"/>
    <col width="16" customWidth="1" min="4" max="4"/>
    <col width="24" customWidth="1" min="5" max="5"/>
    <col width="16" customWidth="1" min="6" max="6"/>
    <col width="18" customWidth="1" min="7" max="7"/>
    <col width="28" customWidth="1" min="8" max="8"/>
    <col width="40" customWidth="1" min="9" max="9"/>
    <col width="24" customWidth="1" min="10" max="10"/>
    <col width="44" customWidth="1" min="11" max="11"/>
    <col width="10" customWidth="1" min="12" max="12"/>
    <col width="16" customWidth="1" min="13" max="13"/>
    <col width="14" customWidth="1" min="14" max="14"/>
    <col width="10" customWidth="1" min="15" max="15"/>
    <col width="24" customWidth="1" min="16" max="16"/>
    <col width="14" customWidth="1" min="17" max="17"/>
    <col width="18" customWidth="1" min="18" max="18"/>
    <col width="30" customWidth="1" min="19" max="19"/>
    <col width="36" customWidth="1" min="20" max="20"/>
    <col width="30" customWidth="1" min="21" max="21"/>
    <col width="40" customWidth="1" min="22" max="22"/>
  </cols>
  <sheetData>
    <row r="1" ht="32" customHeight="1">
      <c r="A1" s="1" t="inlineStr">
        <is>
          <t>Tier</t>
        </is>
      </c>
      <c r="B1" s="1" t="inlineStr">
        <is>
          <t>Company</t>
        </is>
      </c>
      <c r="C1" s="1" t="inlineStr">
        <is>
          <t>County</t>
        </is>
      </c>
      <c r="D1" s="1" t="inlineStr">
        <is>
          <t>City</t>
        </is>
      </c>
      <c r="E1" s="1" t="inlineStr">
        <is>
          <t>Owner / Decision Maker</t>
        </is>
      </c>
      <c r="F1" s="1" t="inlineStr">
        <is>
          <t>Title</t>
        </is>
      </c>
      <c r="G1" s="1" t="inlineStr">
        <is>
          <t>Phone</t>
        </is>
      </c>
      <c r="H1" s="1" t="inlineStr">
        <is>
          <t>Website</t>
        </is>
      </c>
      <c r="I1" s="1" t="inlineStr">
        <is>
          <t>Fit Reason</t>
        </is>
      </c>
      <c r="J1" s="1" t="inlineStr">
        <is>
          <t>What They Need</t>
        </is>
      </c>
      <c r="K1" s="1" t="inlineStr">
        <is>
          <t>Observable Leaks</t>
        </is>
      </c>
      <c r="L1" s="1" t="inlineStr">
        <is>
          <t>Confidence</t>
        </is>
      </c>
      <c r="M1" s="1" t="inlineStr">
        <is>
          <t>Ownership</t>
        </is>
      </c>
      <c r="N1" s="1" t="inlineStr">
        <is>
          <t>Size</t>
        </is>
      </c>
      <c r="O1" s="1" t="inlineStr">
        <is>
          <t>Founded</t>
        </is>
      </c>
      <c r="P1" s="1" t="inlineStr">
        <is>
          <t>Services</t>
        </is>
      </c>
      <c r="Q1" s="1" t="inlineStr">
        <is>
          <t>Reviews</t>
        </is>
      </c>
      <c r="R1" s="1" t="inlineStr">
        <is>
          <t>Software Seen</t>
        </is>
      </c>
      <c r="S1" s="1" t="inlineStr">
        <is>
          <t>Verified?</t>
        </is>
      </c>
      <c r="T1" s="1" t="inlineStr">
        <is>
          <t>Verifier Notes</t>
        </is>
      </c>
      <c r="U1" s="1" t="inlineStr">
        <is>
          <t>Owner Source</t>
        </is>
      </c>
      <c r="V1" s="1" t="inlineStr">
        <is>
          <t>Sources</t>
        </is>
      </c>
    </row>
    <row r="2">
      <c r="A2" s="2" t="inlineStr">
        <is>
          <t>A</t>
        </is>
      </c>
      <c r="B2" s="2" t="inlineStr">
        <is>
          <t>AC Police LLC</t>
        </is>
      </c>
      <c r="C2" s="2" t="inlineStr">
        <is>
          <t>Broward</t>
        </is>
      </c>
      <c r="D2" s="2" t="inlineStr">
        <is>
          <t>Davie</t>
        </is>
      </c>
      <c r="E2" s="2" t="inlineStr">
        <is>
          <t>Shawn Miranda</t>
        </is>
      </c>
      <c r="F2" s="2" t="inlineStr">
        <is>
          <t>Owner / license holder CAC1818540</t>
        </is>
      </c>
      <c r="G2" s="2" t="inlineStr">
        <is>
          <t>(954) 812-2969</t>
        </is>
      </c>
      <c r="H2" s="2" t="inlineStr">
        <is>
          <t>https://www.acpolicellc.com/</t>
        </is>
      </c>
      <c r="I2" s="2" t="inlineStr">
        <is>
          <t>Named veteran owner with license number, Broward HQ, 11-50 employees, and a live growth signal (hiring technicians now) plus weak-systems signals (under-60 reviews, no booking seen). Broward base also qualifies for CareerSource Broward incumbent-worker training funding. Site-level checks could not be run (fetch blocked, search budget exhausted).</t>
        </is>
      </c>
      <c r="J2" s="2" t="inlineStr">
        <is>
          <t>Systems + AI Enablement</t>
        </is>
      </c>
      <c r="K2" s="2" t="inlineStr">
        <is>
          <t>Only 19 Yelp reviews (and 4.5 on Yahoo with 19) after nine years for a shop claiming 11-50 staff; hiring at $22-35/hr points to onboarding greener techs; mailbox-style suite address; 24-hour operation with a small review base; no booking or maintenance-plan page seen</t>
        </is>
      </c>
      <c r="L2" s="2" t="inlineStr">
        <is>
          <t>high</t>
        </is>
      </c>
      <c r="M2" s="2" t="inlineStr">
        <is>
          <t>Independent, veteran-owned and operated</t>
        </is>
      </c>
      <c r="N2" s="2" t="inlineStr">
        <is>
          <t>11-50 employees (directory claim); actively hiring technicians</t>
        </is>
      </c>
      <c r="O2" s="2" t="inlineStr">
        <is>
          <t>2016</t>
        </is>
      </c>
      <c r="P2" s="2" t="inlineStr">
        <is>
          <t>Residential and commercial HVAC installation, repair (compressors, components) and maintenance; open 24 hours; discounts for police, fire and military</t>
        </is>
      </c>
      <c r="Q2" s="2" t="inlineStr"/>
      <c r="R2" s="2" t="inlineStr"/>
      <c r="S2" s="2" t="inlineStr"/>
      <c r="T2" s="2" t="inlineStr"/>
      <c r="U2" s="2" t="inlineStr">
        <is>
          <t>https://www.yelp.com/biz/a-c-police-davie</t>
        </is>
      </c>
      <c r="V2" s="2" t="inlineStr">
        <is>
          <t>https://www.yelp.com/biz/a-c-police-davie
https://www.bbb.org/us/fl/hollywood/profile/air-conditioning-contractor/ac-police-0633-92053783
https://www.zoominfo.com/pic/ac-police-llc/439706365
https://local.yahoo.com/info-213827065-a-c-police-davie/
https://www.acpolicellc.com/
https://www.indeed.com/q-HVAC-Technician-l-Fort-Lauderdale,-FL-jobs.html</t>
        </is>
      </c>
    </row>
    <row r="3">
      <c r="A3" s="2" t="inlineStr">
        <is>
          <t>A</t>
        </is>
      </c>
      <c r="B3" s="2" t="inlineStr">
        <is>
          <t>Air Condition Army LLC</t>
        </is>
      </c>
      <c r="C3" s="2" t="inlineStr">
        <is>
          <t>Broward</t>
        </is>
      </c>
      <c r="D3" s="2" t="inlineStr">
        <is>
          <t>Sunrise</t>
        </is>
      </c>
      <c r="E3" s="2" t="inlineStr">
        <is>
          <t>Christopher Franzese</t>
        </is>
      </c>
      <c r="F3" s="2" t="inlineStr">
        <is>
          <t>Managing Member</t>
        </is>
      </c>
      <c r="G3" s="2" t="inlineStr">
        <is>
          <t>(954) 867-8484</t>
        </is>
      </c>
      <c r="H3" s="2" t="inlineStr">
        <is>
          <t>airconditionarmy.com</t>
        </is>
      </c>
      <c r="I3" s="2" t="inlineStr">
        <is>
          <t>Textbook ideal profile: Broward HVAC LLC started 2020/2023 and already at 15 employees with multiple service lines and a growing footprint (concrete growth signal), named owner and manager, and at least three weak-systems signals (unanswered BBB complaint dropping them to C+, two phone numbers, free-service-call pricing). Scaling pains map directly to the FMBS merger story.</t>
        </is>
      </c>
      <c r="J3" s="2" t="inlineStr">
        <is>
          <t>Operations Audit &amp; Strategic Roadmap</t>
        </is>
      </c>
      <c r="K3" s="2" t="inlineStr">
        <is>
          <t>BBB C+ rating because 1 complaint went unanswered - nobody owns the complaint inbox; two phone numbers on site (main plus late-hours); 'free service call' pricing (margin pressure); 1,592 five-star Google reviews in about three years means the review engine is strong but the back office is not keeping pace; scaled from new LLC to 15 employees with at least five service lines (commercial, mobile home, ductwork, mini split, package units) and a three-county service area; no booking widget confirmed</t>
        </is>
      </c>
      <c r="L3" s="2" t="inlineStr">
        <is>
          <t>high</t>
        </is>
      </c>
      <c r="M3" s="2" t="inlineStr">
        <is>
          <t>Independent LLC formed 2020; no private-equity, consolidator, or franchise evidence found</t>
        </is>
      </c>
      <c r="N3" s="2" t="inlineStr">
        <is>
          <t>15 employees (BBB); est. 6-10 trucks, roughly $2-4M revenue</t>
        </is>
      </c>
      <c r="O3" s="2" t="inlineStr">
        <is>
          <t>2020 (LLC incorporated 9/30/2020; BBB lists local start 4/17/2023; site claims 'family owned, 25+ yrs' of experience)</t>
        </is>
      </c>
      <c r="P3" s="2" t="inlineStr">
        <is>
          <t>Residential + commercial HVAC repair, installation, maintenance; ductwork cleaning/repair; mini splits; package units; mobile home HVAC; 24/7 emergency; free service calls; financing via Synchrony and Wisetack; serves Broward, Palm Beach, Treasure Coast</t>
        </is>
      </c>
      <c r="Q3" s="2" t="inlineStr">
        <is>
          <t>5.0 / 1,592</t>
        </is>
      </c>
      <c r="R3" s="2" t="inlineStr">
        <is>
          <t>Birdeye (review aggregation, 2,558 reviews listed); Wisetack and Synchrony financing</t>
        </is>
      </c>
      <c r="S3" s="2" t="inlineStr">
        <is>
          <t>Phone: confirmed | Owner: confirmed | Independent: confirmed - Sunbiz: LLC filed 9/30/2020 (doc L20000308783); BBB: started operating locally 4/17/2023, 15 employees; family owned and operated per listings; no acquisition, second-location, partnership, PE or franchise hits (a specific 'acquired OR expansion OR second location' search returned nothing)</t>
        </is>
      </c>
      <c r="T3" s="2" t="inlineStr">
        <is>
          <t>BBB: NOT accredited, C+ rating because the business failed to respond to 1 complaint (BBB customer reviews are 5/5 from 15). Review volume is unusually high for a 2023 start: Google 5.0 with ~1,592 reviews, Birdeye 5.0 with 2,558, Yelp 4.6 (31, filed under Fort Lauderdale) - indicates aggressive review solicitation and a fast-scaling multi-truck shop, not a one-man operation. Marketing claims '25+ years of proven experience' vs. 2020 formation. Offers free service calls, Synchrony and Wisetack financing, mobile-home HVAC niche, commercial HVAC; serves Broward, Palm Beach and Treasure Coast. No current job postings found. Verification basis: cached BBB, Sunbiz, Yelp, Birdeye, BuildZoom, Nextdoor and FL registry snippets; no live lookups possible.</t>
        </is>
      </c>
      <c r="U3" s="2" t="inlineStr">
        <is>
          <t>https://www.bbb.org/us/fl/sunrise/profile/air-conditioning-contractor/air-condition-army-llc-0633-92033946</t>
        </is>
      </c>
      <c r="V3" s="2" t="inlineStr">
        <is>
          <t>https://www.bbb.org/us/fl/sunrise/profile/air-conditioning-contractor/air-condition-army-llc-0633-92033946
https://www.bbb.org/us/fl/sunrise/profile/air-conditioning-contractor/air-condition-army-llc-0633-92033946/customer-reviews
https://airconditionarmy.com/
https://airconditionarmy.com/financing
https://airconditionarmy.com/air-conditioner/maintenance
https://www.yelp.com/biz/air-condition-army-fort-lauderdale
https://reviews.birdeye.com/air-condition-army-169859353967120
https://www.buildzoom.com/contractor/air-condition-army-llc
https://www.bizprofile.net/fl/sunrise/air-condition-army-llc
https://nextdoor.com/pages/air-conditioning-army-sunrise-fl/
https://www.facebook.com/HVACARMY/</t>
        </is>
      </c>
    </row>
    <row r="4">
      <c r="A4" s="2" t="inlineStr">
        <is>
          <t>A</t>
        </is>
      </c>
      <c r="B4" s="2" t="inlineStr">
        <is>
          <t>American HVAC Inc</t>
        </is>
      </c>
      <c r="C4" s="2" t="inlineStr">
        <is>
          <t>Broward</t>
        </is>
      </c>
      <c r="D4" s="2" t="inlineStr">
        <is>
          <t>Pompano Beach</t>
        </is>
      </c>
      <c r="E4" s="2" t="inlineStr">
        <is>
          <t>Nicholas (Nick) Sindicich</t>
        </is>
      </c>
      <c r="F4" s="2" t="inlineStr">
        <is>
          <t>VP / registered agent (BBB principal); contact for HVAC sales, service, installation</t>
        </is>
      </c>
      <c r="G4" s="2" t="inlineStr">
        <is>
          <t>(954) 772-0000</t>
        </is>
      </c>
      <c r="H4" s="2" t="inlineStr">
        <is>
          <t>https://americanhvac.com</t>
        </is>
      </c>
      <c r="I4" s="2" t="inlineStr">
        <is>
          <t>Named family principals, Broward HQ, HVAC + refrigeration (allowed mix), and a concrete growth signal (hiring techs now with $1,000 bonus) plus weak-systems signals (zero review footprint, not accredited, no license number in snippets). Grant-funded training is the low-friction door; an Operations Audit is the natural follow-on for a 47-year family shop scaling its crew. Confirm headcount is under about 60 on the call.</t>
        </is>
      </c>
      <c r="J4" s="2" t="inlineStr">
        <is>
          <t>Team Training</t>
        </is>
      </c>
      <c r="K4" s="2" t="inlineStr">
        <is>
          <t>No public reviews found anywhere for a 47-year-old company; not BBB accredited; no CAC number visible in snippets; paying a $1,000 sign-on bonus (recruiting pressure); LinkedIn company slug reads 'american-hvac-&amp;-plumbing-inc-' (check whether a plumbing division was added); property-management clientele (FAA/FALA vendor guides) means maintenance-agreement tracking matters</t>
        </is>
      </c>
      <c r="L4" s="2" t="inlineStr">
        <is>
          <t>high</t>
        </is>
      </c>
      <c r="M4" s="2" t="inlineStr">
        <is>
          <t>Independent, family owned (Sindicich) since 1979; not BBB accredited</t>
        </is>
      </c>
      <c r="N4" s="2" t="inlineStr">
        <is>
          <t>Est. 15-40 employees: commercial HVAC-R across three counties, actively hiring techs with a sign-on bonus; headcount not published in snippets</t>
        </is>
      </c>
      <c r="O4" s="2" t="inlineStr">
        <is>
          <t>1979 (BBB: business started 7/31/1979; incorporated 6/8/2000)</t>
        </is>
      </c>
      <c r="P4" s="2" t="inlineStr">
        <is>
          <t>Commercial air conditioning and refrigeration: maintenance agreements, repairs, replacements, retrofits; mold remediation; serves Miami-Dade, Broward and Palm Beach; listed in Florida Apartment Association and Florida Assisted Living Association vendor guides</t>
        </is>
      </c>
      <c r="Q4" s="2" t="inlineStr">
        <is>
          <t>No customer reviews surfaced on any platform</t>
        </is>
      </c>
      <c r="R4" s="2" t="inlineStr"/>
      <c r="S4" s="2" t="inlineStr"/>
      <c r="T4" s="2" t="inlineStr"/>
      <c r="U4" s="2" t="inlineStr">
        <is>
          <t>https://www.bbb.org/us/fl/pompano-beach/profile/air-conditioning-contractor/american-hvac-inc-0633-90549063</t>
        </is>
      </c>
      <c r="V4" s="2" t="inlineStr">
        <is>
          <t>https://www.bbb.org/us/fl/pompano-beach/profile/air-conditioning-contractor/american-hvac-inc-0633-90549063
https://local.yahoo.com/info-224744866-american-hvac-inc-pompano-beach/
https://www.faahq.org/directory/american-hvac-inc
https://www.fala.org/vendors-guide/american-hvac-inc
https://www.linkedin.com/company/american-hvac-&amp;-plumbing-inc-
https://www.browardbiz.com/united-states/fort-lauderdale/home-services/american-hvac-inc
https://www.indeed.com/q-HVAC-l-Pompano-Beach,-FL-jobs.html
https://search.sunbiz.org/Inquiry/CorporationSearch/SearchResults?InquiryType=EntityName&amp;SearchTerm=AMERICAN+HVAC,+INC.</t>
        </is>
      </c>
    </row>
    <row r="5">
      <c r="A5" s="2" t="inlineStr">
        <is>
          <t>A</t>
        </is>
      </c>
      <c r="B5" s="2" t="inlineStr">
        <is>
          <t>B Cool, Inc.</t>
        </is>
      </c>
      <c r="C5" s="2" t="inlineStr">
        <is>
          <t>Broward</t>
        </is>
      </c>
      <c r="D5" s="2" t="inlineStr">
        <is>
          <t>Davie</t>
        </is>
      </c>
      <c r="E5" s="2" t="inlineStr">
        <is>
          <t>Mark T. Bonawitz</t>
        </is>
      </c>
      <c r="F5" s="2" t="inlineStr">
        <is>
          <t>President</t>
        </is>
      </c>
      <c r="G5" s="2" t="inlineStr">
        <is>
          <t>(954) 680-6325</t>
        </is>
      </c>
      <c r="H5" s="2" t="inlineStr">
        <is>
          <t>bcoolinc.com (also runs a second site, acinbroward.com)</t>
        </is>
      </c>
      <c r="I5" s="2" t="inlineStr">
        <is>
          <t>Healthy, owner-operated Broward shop (4.9 Google on 164 reviews, BBB A+ since 2008, Rheem/Trane dealer) with a named president (Mark Bonawitz) and at least four weak-systems signals: two websites, two phone numbers, form-only booking, and weekday-only office hours. Size fits the 5-50 range. The gap is systems rather than reputation, so booking, after-hours intake and automated follow-up are the right-sized entry point.</t>
        </is>
      </c>
      <c r="J5" s="2" t="inlineStr">
        <is>
          <t>Systems + AI Enablement</t>
        </is>
      </c>
      <c r="K5" s="2" t="inlineStr">
        <is>
          <t>Two websites (bcoolinc.com and acinbroward.com) and two phone numbers across listings - split web identity; office hours Mon-Fri 9-6, closed weekends despite 'emergency service available' claim - no after-hours intake; no online booking (form only); Yelp only 19 reviews vs 164 on Google; Birdeye account with 1 review (review tool not used); 37-year-old shop with husband-and-wife principals - succession and systems-upgrade moment</t>
        </is>
      </c>
      <c r="L5" s="2" t="inlineStr">
        <is>
          <t>high</t>
        </is>
      </c>
      <c r="M5" s="2" t="inlineStr">
        <is>
          <t>Independent, family-owned (Bonawitz family, husband-and-wife principals)</t>
        </is>
      </c>
      <c r="N5" s="2" t="inlineStr">
        <is>
          <t>1-24 employees (BBB/D&amp;B), revenue under $5M; est. 4-8 trucks</t>
        </is>
      </c>
      <c r="O5" s="2" t="inlineStr">
        <is>
          <t>1988 (incorporated 6/16/1988; BBB business start 5/8/2001)</t>
        </is>
      </c>
      <c r="P5" s="2" t="inlineStr">
        <is>
          <t>Residential + commercial AC repair, maintenance plans, installation; Rheem ProPartner and authorized Trane dealer; same-day service with 2-hour window; emergency service</t>
        </is>
      </c>
      <c r="Q5" s="2" t="inlineStr">
        <is>
          <t>4.9 / 164</t>
        </is>
      </c>
      <c r="R5" s="2" t="inlineStr">
        <is>
          <t>None detected; Birdeye page exists with only 1 review (unused)</t>
        </is>
      </c>
      <c r="S5" s="2" t="inlineStr">
        <is>
          <t>Phone: confirmed | Owner: confirmed | Independent: confirmed - family owned and operated since 1988 (incorporated 6/16/1988; BBB 'business started' 5/8/2001), 1-24 employees, &lt;$5M revenue; Rheem ProPartner and authorized Trane dealer (dealer programs, not franchise/ownership); no acquisition, partnership or PE hits. Note: ZoomInfo's 'B-Cool Air Conditioning &amp; Heating' and 'BCool' entries are different companies</t>
        </is>
      </c>
      <c r="T5" s="2" t="inlineStr">
        <is>
          <t>BBB Accredited since 11/21/2008, A+ rating. Second website acinbroward.com confirmed (indexed pages 'Air Conditioner Repair &amp; Furnace Repair Davie' and 'About B Cool Inc' live on that domain). Ratings: Google 4.9 (164 reviews), Yelp 4.6 (19), Yahoo 4.5 (19), Birdeye only 1. Hours Mon-Fri 9-6, closed Sat/Sun - no after-hours coverage. 37-year husband-and-wife shop. Minor flag: the DBPR result title reads 'Registered Air Conditioning Contractor' while BBB cites CAC058523 (a Certified-class number) - verify license class only if it matters to the pitch. A ZoomInfo hit for a 'Chris Bonawitz' uses a different email domain and is unverified as a family member. No hiring signals. Verification basis: cached BBB, DBPR, D&amp;B, Yelp, Yahoo Local, ZoomInfo and acinbroward.com snippets; no live lookups possible.</t>
        </is>
      </c>
      <c r="U5" s="2" t="inlineStr">
        <is>
          <t>https://www.bbb.org/us/fl/davie/profile/air-conditioning-contractor/b-cool-inc-0633-25000894</t>
        </is>
      </c>
      <c r="V5" s="2" t="inlineStr">
        <is>
          <t>https://www.bbb.org/us/fl/davie/profile/air-conditioning-contractor/b-cool-inc-0633-25000894
https://www.myfloridalicense.com/LicenseDetail.asp?id=1DFF7CCF394D86DD595CE3DB92675E48
https://www.bcoolinc.com/
https://www.bcoolinc.com/about-us/
https://www.bcoolinc.com/contact/
https://www.acinbroward.com/
https://www.yelp.com/biz/b-cool-davie-8
https://local.yahoo.com/info-28458480-b-cool-davie/
https://www.dnb.com/business-directory/company-profiles/b-cool-inc.11bf604370311505804bc4644fa2d8ab
https://reviews.birdeye.com/b-cool-inc-165364945401877
https://heating-and-air-conditioning-services.cmac.ws/b-cool-inc/36859/</t>
        </is>
      </c>
    </row>
    <row r="6">
      <c r="A6" s="2" t="inlineStr">
        <is>
          <t>A</t>
        </is>
      </c>
      <c r="B6" s="2" t="inlineStr">
        <is>
          <t>Big Time Air Conditioning</t>
        </is>
      </c>
      <c r="C6" s="2" t="inlineStr">
        <is>
          <t>Broward</t>
        </is>
      </c>
      <c r="D6" s="2" t="inlineStr">
        <is>
          <t>Davie</t>
        </is>
      </c>
      <c r="E6" s="2" t="inlineStr">
        <is>
          <t>Leron Vahnounou</t>
        </is>
      </c>
      <c r="F6" s="2" t="inlineStr">
        <is>
          <t>Founder / license holder CAC1822336</t>
        </is>
      </c>
      <c r="G6" s="2" t="inlineStr">
        <is>
          <t>954-554-7429</t>
        </is>
      </c>
      <c r="H6" s="2" t="inlineStr">
        <is>
          <t>https://www.bigtimeairconditioning.com/</t>
        </is>
      </c>
      <c r="I6" s="2" t="inlineStr">
        <is>
          <t>Named founder/license holder, Broward HQ, concrete growth signal (second location in West Palm Beach plus multi-county service pages) and two weak-systems signals (no visible Yelp reviews, inconsistent SEO pages). Caveat: headcount is unconfirmed and may be at the small end. Site-level checks could not be run (fetch blocked, search budget exhausted).</t>
        </is>
      </c>
      <c r="J6" s="2" t="inlineStr">
        <is>
          <t>Operations Audit &amp; Strategic Roadmap</t>
        </is>
      </c>
      <c r="K6" s="2" t="inlineStr">
        <is>
          <t>Yelp listing shows 33 photos but no review count (no visible reviews); website has two inconsistent URL structures (/location/ and /locations/) suggesting rebuilt or agency SEO city pages; opened a West Palm Beach location (growth without visible review base); Facebook active</t>
        </is>
      </c>
      <c r="L6" s="2" t="inlineStr">
        <is>
          <t>high</t>
        </is>
      </c>
      <c r="M6" s="2" t="inlineStr">
        <is>
          <t>Independent; founder-owned (Leron Vahnounou; 'Neo V.' listed as business owner, likely the same person, Leron Neoray Vahnounou)</t>
        </is>
      </c>
      <c r="N6" s="2" t="inlineStr">
        <is>
          <t>Small: two people listed on BuildZoom; two locations (Davie HQ and a West Palm Beach page); estimate 3-10 people</t>
        </is>
      </c>
      <c r="O6" s="2" t="inlineStr">
        <is>
          <t>2012</t>
        </is>
      </c>
      <c r="P6" s="2" t="inlineStr">
        <is>
          <t>Residential and commercial AC repair, installation, maintenance; serves Broward, Palm Beach and Miami-Dade</t>
        </is>
      </c>
      <c r="Q6" s="2" t="inlineStr"/>
      <c r="R6" s="2" t="inlineStr"/>
      <c r="S6" s="2" t="inlineStr"/>
      <c r="T6" s="2" t="inlineStr"/>
      <c r="U6" s="2" t="inlineStr">
        <is>
          <t>https://www.buildzoom.com/contractor/big-timeair-inc</t>
        </is>
      </c>
      <c r="V6" s="2" t="inlineStr">
        <is>
          <t>https://www.yelp.com/biz/big-time-air-conditioning-davie
https://www.buildzoom.com/contractor/big-timeair-inc
https://www.facebook.com/Bigtimeair.hvac/
https://www.bigtimeairconditioning.com/about
https://www.bigtimeairconditioning.com/location/pembroke-pines
https://bigtimeairconditioning.com/locations/west-palm-beach/</t>
        </is>
      </c>
    </row>
    <row r="7">
      <c r="A7" s="2" t="inlineStr">
        <is>
          <t>A</t>
        </is>
      </c>
      <c r="B7" s="2" t="inlineStr">
        <is>
          <t>Brisk Air, Inc (dba Brisk Air, briskaircool.com)</t>
        </is>
      </c>
      <c r="C7" s="2" t="inlineStr">
        <is>
          <t>Broward</t>
        </is>
      </c>
      <c r="D7" s="2" t="inlineStr">
        <is>
          <t>Coral Springs (HQ per BBB; Miramar, Southwest Ranches and Hollywood are service-area pages)</t>
        </is>
      </c>
      <c r="E7" s="2" t="inlineStr">
        <is>
          <t>Andy Andres</t>
        </is>
      </c>
      <c r="F7" s="2" t="inlineStr">
        <is>
          <t>President (per BBB profile)</t>
        </is>
      </c>
      <c r="G7" s="2" t="inlineStr">
        <is>
          <t>(954) 369-1639</t>
        </is>
      </c>
      <c r="H7" s="2" t="inlineStr">
        <is>
          <t>briskaircool.com</t>
        </is>
      </c>
      <c r="I7" s="2" t="inlineStr">
        <is>
          <t>Named owner (Andy Andres, President) with spouse running the office, Broward HQ, independent 50-year family company, and at least three observable weak-systems signals (typo'd template city pages, no phone in page snippets, no reviews surfaced); phone and address confirmed via BBB</t>
        </is>
      </c>
      <c r="J7" s="2" t="inlineStr">
        <is>
          <t>Marketing &amp; Website Makeover</t>
        </is>
      </c>
      <c r="K7" s="2" t="inlineStr">
        <is>
          <t>Programmatic city pages (Miramar, Southwest Ranches, Hollywood) including a live misspelled URL slug 'ac-copmany-southwest-ranches-fl' = unchecked agency/template SEO; no phone number appears in any city-page snippet; no review counts surfaced anywhere; BBB lists the HQ in Coral Springs as a commercial contractor while the site markets residential work 30+ miles away in Miramar and Hollywood (wide dispatch radius for a small team); family runs the office (wife is Secretary)</t>
        </is>
      </c>
      <c r="L7" s="2" t="inlineStr">
        <is>
          <t>high</t>
        </is>
      </c>
      <c r="M7" s="2" t="inlineStr">
        <is>
          <t>Independent, husband-and-wife family-owned (Andy and Jackie Andres)</t>
        </is>
      </c>
      <c r="N7" s="2" t="inlineStr">
        <is>
          <t>Small family shop, est. 3-10 employees / 2-5 trucks (suite address, spouse in office, wide service radius; no headcount shown)</t>
        </is>
      </c>
      <c r="O7" s="2" t="inlineStr">
        <is>
          <t>1972 (per company website)</t>
        </is>
      </c>
      <c r="P7" s="2" t="inlineStr">
        <is>
          <t>Residential and commercial AC repair, installation and maintenance; BBB categorizes as Commercial Air Conditioning Contractors</t>
        </is>
      </c>
      <c r="Q7" s="2" t="inlineStr"/>
      <c r="R7" s="2" t="inlineStr"/>
      <c r="S7" s="2" t="inlineStr"/>
      <c r="T7" s="2" t="inlineStr"/>
      <c r="U7" s="2" t="inlineStr">
        <is>
          <t>https://www.bbb.org/us/fl/coral-springs/profile/commercial-air-conditioning-contractors/brisk-air-inc-0633-90309969</t>
        </is>
      </c>
      <c r="V7" s="2" t="inlineStr">
        <is>
          <t>https://www.bbb.org/us/fl/coral-springs/profile/commercial-air-conditioning-contractors/brisk-air-inc-0633-90309969
https://briskaircool.com/air-conditioning-company-miramar-fl/
https://briskaircool.com/ac-copmany-southwest-ranches-fl/
https://briskaircool.com/ac-repair-southwest-ranches-fl/
https://briskaircool.com/air-conditioning-company-hollywood-fl/
https://briskaircool.com/who-we-are/
https://rocketreach.co/brisk-air-inc-profile_b473be99fc5ce4f3</t>
        </is>
      </c>
    </row>
    <row r="8">
      <c r="A8" s="2" t="inlineStr">
        <is>
          <t>A</t>
        </is>
      </c>
      <c r="B8" s="2" t="inlineStr">
        <is>
          <t>Comfort Zone Air Conditioning, Inc.</t>
        </is>
      </c>
      <c r="C8" s="2" t="inlineStr">
        <is>
          <t>Broward</t>
        </is>
      </c>
      <c r="D8" s="2" t="inlineStr">
        <is>
          <t>Fort Lauderdale (corporate office Pompano Beach)</t>
        </is>
      </c>
      <c r="E8" s="2" t="inlineStr">
        <is>
          <t>Christian Anton</t>
        </is>
      </c>
      <c r="F8" s="2" t="inlineStr">
        <is>
          <t>President</t>
        </is>
      </c>
      <c r="G8" s="2" t="inlineStr">
        <is>
          <t>(754) 205-5510</t>
        </is>
      </c>
      <c r="H8" s="2" t="inlineStr">
        <is>
          <t>https://www.czairconditioning.com/</t>
        </is>
      </c>
      <c r="I8" s="2" t="inlineStr">
        <is>
          <t>Owner-led independent Broward HVAC contractor with a concrete growth signal (opened a second location in West Palm Beach and expanded to Martin/St. Lucie counties), a named decision maker (Christian Anton, President) plus a VP, and size in range. Web fundamentals are solid, so the opportunity is coordinating two offices and four counties - the same multi-entity problem solved at FMBS.</t>
        </is>
      </c>
      <c r="J8" s="2" t="inlineStr">
        <is>
          <t>Operations Audit &amp; Strategic Roadmap</t>
        </is>
      </c>
      <c r="K8" s="2" t="inlineStr">
        <is>
          <t>(1) Three different phone numbers circulating: 754-205-5510 (main), 754-205-7394 (Buzzfile) and 561-790-5910 (WPB) - likely tracking numbers / inconsistent listings. (2) Three different addresses across BBB, Sunbiz and Yelp. (3) A+ BBB rating but not BBB accredited. (4) Dozens of agency-style 'near-me' SEO landing pages (Lighthouse Point, Parkland, Delray, Boynton, Palm Beach Gardens, Florida Ridge, Winter Beach) - site appears agency-run. (5) Conflicting founding claims (2007 / 2011 / '20+ years'). Website basics (license, booking, maintenance contracts) are already covered, so the gap is multi-location operations rather than marketing.</t>
        </is>
      </c>
      <c r="L8" s="2" t="inlineStr">
        <is>
          <t>high</t>
        </is>
      </c>
      <c r="M8" s="2" t="inlineStr">
        <is>
          <t>Independent, owner-led (President Christian Anton since 2011 incorporation); no private-equity or franchise indicators found</t>
        </is>
      </c>
      <c r="N8" s="2" t="inlineStr">
        <is>
          <t>Est. 15-40 employees / 8-20 trucks: two offices (Fort Lauderdale/Pompano Beach and West Palm Beach), four-county footprint, 161 Yelp and 361 experience.com reviews; ZoomInfo lists 1-10 at the corporate office, which looks like an undercount</t>
        </is>
      </c>
      <c r="O8" s="2" t="inlineStr">
        <is>
          <t>Incorporated 5/20/2011, business started 12/6/2011 (BBB); site claims 15-20+ years of experience; one directory says established 2007</t>
        </is>
      </c>
      <c r="P8" s="2" t="inlineStr">
        <is>
          <t>Residential and commercial AC installation, repair and maintenance (quarterly maintenance contracts), heating/furnace service, indoor air quality; financing; veteran and first-responder discounts; serves Broward, Palm Beach, Martin and St. Lucie counties</t>
        </is>
      </c>
      <c r="Q8" s="2" t="inlineStr">
        <is>
          <t>Not captured for Google; Yelp shows 161 reviews; experience.com shows 4.74 stars from 361 verified reviews</t>
        </is>
      </c>
      <c r="R8" s="2" t="inlineStr"/>
      <c r="S8" s="2" t="inlineStr">
        <is>
          <t>Phone: confirmed | Owner: confirmed (BBB + LinkedIn + ZoomInfo) | Independent: Confirmed owner-led and independent on available evidence: Sunbiz P11000048001 incorporated 5/20/2011, BBB business start 12/6/2011, same president since; no PE, consolidator, or franchise language. Caution: several unrelated 'Comfort Zone' HVAC brands show up in searches (Comfort Zone of North Florida, comfortzonecfl.com, Comfort Zone Heating &amp; Cooling NJ, Comfort Zone HVAC comfortzonepros.com, 'Comfort Zone' Riviera Beach est. 1976) — none is this company; do not conflate. Dedicated 'acquired'/'partners with' searches could not be run (budget exhausted).</t>
        </is>
      </c>
      <c r="T8" s="2" t="inlineStr">
        <is>
          <t>BBB A+ (not accredited); BBB 'years in business 14'; one directory says 'established 2007' vs 2011 incorporation. License CAC1816990 shown on site. Online booking exists ('Book Your Appointment Online'); quarterly maintenance contracts; heater/furnace maintenance page; veteran/first-responder discounts. Reputation: Yelp Fort Lauderdale 161 reviews / 282 photos (separate WPB Yelp page), experience.com 4.74 from 361 verified reviews, Angi listings under Pompano Beach. ZoomInfo shows 1-10 employees at the corporate office — likely an undercount for a two-office, four-plus-county operation. No Fort Lauderdale-specific hiring found (job hits were other Comfort Zone brands). Site is agency-built with many 'near-me' city pages. Three phone numbers in circulation (tracking-number pattern).</t>
        </is>
      </c>
      <c r="U8" s="2" t="inlineStr">
        <is>
          <t>https://www.bbb.org/us/fl/fort-lauderdale/profile/air-conditioning-contractor/comfort-zone-air-conditioning-inc-0633-90064283</t>
        </is>
      </c>
      <c r="V8" s="2" t="inlineStr">
        <is>
          <t>https://www.bbb.org/us/fl/fort-lauderdale/profile/air-conditioning-contractor/comfort-zone-air-conditioning-inc-0633-90064283
https://www.linkedin.com/in/christian-anton-43aa0b45/
https://www.yelp.com/biz/comfort-zone-air-conditioning-fort-lauderdale-3
https://www.yelp.com/biz/comfort-zone-air-conditioning-west-palm-beach
https://www.experience.com/reviews/comfort-22903814
https://www.zoominfo.com/pic/comfort-zone-air-conditioning/368112965
https://www.buzzfile.com/business/Comfort-Zone-Air-Conditioning-Inc.-754-205-7394
https://www.czairconditioning.com/ac-maintenance
https://www.czairconditioning.com/specials
https://www.czairconditioning.com/near-me/air-conditioning-contractor-ft-lauderdale
https://www.yellowpages.com/fort-lauderdale-fl/mip/comfort-zone-air-conditioning-inc-474254176
https://www.myfloridalicense.com/LicenseDetail.asp?SID=&amp;id=8CF436639C77939D7635482B5593FDDD
https://search.sunbiz.org/Inquiry/CorporationSearch/GetDocument?aggregateId=domp-p11000048001-b45b892f-9f3f-4da7-8e91-e674dd7883d3&amp;transactionId=p11000048001-678d044e-0ff7-4e06-91d6-fb90b8efc467&amp;formatType=PDF</t>
        </is>
      </c>
    </row>
    <row r="9">
      <c r="A9" s="2" t="inlineStr">
        <is>
          <t>A</t>
        </is>
      </c>
      <c r="B9" s="2" t="inlineStr">
        <is>
          <t>Cool Air ASAP (GAD AC Services LLC)</t>
        </is>
      </c>
      <c r="C9" s="2" t="inlineStr">
        <is>
          <t>Broward</t>
        </is>
      </c>
      <c r="D9" s="2" t="inlineStr">
        <is>
          <t>Lauderhill</t>
        </is>
      </c>
      <c r="E9" s="2" t="inlineStr">
        <is>
          <t>David Lankri</t>
        </is>
      </c>
      <c r="F9" s="2" t="inlineStr">
        <is>
          <t>Manager (BBB principal)</t>
        </is>
      </c>
      <c r="G9" s="2" t="inlineStr">
        <is>
          <t>(754) 304-3489</t>
        </is>
      </c>
      <c r="H9" s="2" t="inlineStr">
        <is>
          <t>https://coolairasap.com/</t>
        </is>
      </c>
      <c r="I9" s="2" t="inlineStr">
        <is>
          <t>Owner-operated Broward shop in the target size band with named decision makers (David Lankri, Aviv Saban) and at least four observable weak-systems signals (two phone numbers, Gmail, agency clone sites, no real booking). Already has license number and maintenance plans on site, so the sale is replacing the agency and tightening lead capture rather than a from-scratch rebuild.</t>
        </is>
      </c>
      <c r="J9" s="2" t="inlineStr">
        <is>
          <t>Marketing &amp; Website Makeover</t>
        </is>
      </c>
      <c r="K9" s="2" t="inlineStr">
        <is>
          <t>(1) Two different public phone numbers: 754-304-3489 on website vs 754-332-2930 on Yelp - tracking-number / agency fingerprint. (2) Business email is a Gmail address (Gadacllc@gmail.com). (3) 'Book online' claim but no real scheduling widget visible. (4) Three duplicate SEO microsites on free hosts plus syndicated press release - paying an agency for churn. (5) Hours Mon-Sat 8-5 with no after-hours answering despite advertising 24/7 emergency. (6) Name confusion with larger, older competitor Cool Air USA (also Lauderhill, since 2008) - search results for 'Cool Air ASAP owner/BBB' mostly return Cool Air USA.</t>
        </is>
      </c>
      <c r="L9" s="2" t="inlineStr">
        <is>
          <t>high</t>
        </is>
      </c>
      <c r="M9" s="2" t="inlineStr">
        <is>
          <t>Independent, family-owned LLC (GAD AC Services LLC d/b/a Cool Air ASAP); not PE or franchise</t>
        </is>
      </c>
      <c r="N9" s="2" t="inlineStr">
        <is>
          <t>Roughly 5-15 people / 3-6 trucks (storefront on Sunrise Blvd, two managers, 282 reviews in ~6 years) - not confirmed</t>
        </is>
      </c>
      <c r="O9" s="2" t="inlineStr">
        <is>
          <t>2019 (BBB: business started 5/13/2019; LLC incorporated 6/8/2018)</t>
        </is>
      </c>
      <c r="P9" s="2" t="inlineStr">
        <is>
          <t>Residential and commercial AC repair, new installation, ductless/mini-split, preventative maintenance, 24/7 emergency repair; three maintenance-plan tiers ($159 / $199 / $279 per year)</t>
        </is>
      </c>
      <c r="Q9" s="2" t="inlineStr">
        <is>
          <t>4.9 (per directory listing; not pulled from Google directly) / 282 (per hvac-usa.nears.me directory listing)</t>
        </is>
      </c>
      <c r="R9" s="2" t="inlineStr">
        <is>
          <t>None visible. Three cloned SEO microsites (cool-air-asap.netlify.app, cool-air-asap.vercel.app, cool-air-asap.pages.dev) plus a syndicated press release indicate an active SEO agency</t>
        </is>
      </c>
      <c r="S9" s="2" t="inlineStr">
        <is>
          <t>Phone: confirmed | Owner: confirmed | Independent: confirmed - LLC incorporated 6/8/2018, business started 5/13/2019 (BBB), alternate name GAD AC Services LLC, email Gadacllc@gmail.com, license CAC1819982; no acquisition, partnership, PE or franchise hits. A 2026 'Cool Air ASAP Expands Emergency HVAC Services' article is a self-issued press release, not M&amp;A</t>
        </is>
      </c>
      <c r="T9" s="2" t="inlineStr">
        <is>
          <t>Do NOT confuse with Cool Air USA, Inc. (Kevin Dean Foster, 3901 NW 16th St, Lauderhill, CAC053230, Yelp 3.5) - a different, older company in the same city that dominates search results. Google 4.9 with 282 reviews; BBB A+ per one snippet. Sells maintenance plans at $159/$199/$279 per year and has online booking (so the 'no booking' angle does not apply). Location pages for Oakland Park, Wilton Manors, Sunrise, Davie; a staging copy of the site exists at cool-air-asap.pages.dev (DIY/agency web work). 'Family-owned' and '20+ years experience' claims come only from the company's own copy. Verification basis: cached BBB, Yelp, Angi, BuildZoom, DBPR and company-contact snippets; no live lookups possible.</t>
        </is>
      </c>
      <c r="U9" s="2" t="inlineStr">
        <is>
          <t>https://www.bbb.org/us/fl/fort-lauderdale/profile/air-conditioning-contractor/cool-air-asap-0633-90553337</t>
        </is>
      </c>
      <c r="V9" s="2" t="inlineStr">
        <is>
          <t>https://coolairasap.com/
https://coolairasap.com/contact-us/
https://coolairasap.com/about-us/
https://www.yelp.com/biz/cool-air-asap-lauderhill
https://www.bbb.org/us/fl/fort-lauderdale/profile/air-conditioning-contractor/cool-air-asap-0633-90553337
https://hvac-usa.nears.me/hvac-contractor/united-states/florida/lauderhill/highly-rated-cool-air-asap-ac-repair-service-in-lauderhill-fl/
https://cool-air-asap.netlify.app/lauderhill-ac-company
https://cool-air-asap.vercel.app/
https://cool-air-asap.pages.dev/about-us
https://www.aspendailynews.com/features/article_2a1f3819-a869-5555-ad6c-71bfba4ad667-e905458b</t>
        </is>
      </c>
    </row>
    <row r="10">
      <c r="A10" s="2" t="inlineStr">
        <is>
          <t>A</t>
        </is>
      </c>
      <c r="B10" s="2" t="inlineStr">
        <is>
          <t>East Coast Services Inc</t>
        </is>
      </c>
      <c r="C10" s="2" t="inlineStr">
        <is>
          <t>Broward</t>
        </is>
      </c>
      <c r="D10" s="2" t="inlineStr">
        <is>
          <t>Pompano Beach</t>
        </is>
      </c>
      <c r="E10" s="2" t="inlineStr">
        <is>
          <t>Lisa Jacmacjian</t>
        </is>
      </c>
      <c r="F10" s="2" t="inlineStr">
        <is>
          <t>President</t>
        </is>
      </c>
      <c r="G10" s="2" t="inlineStr">
        <is>
          <t>(954) 941-7822</t>
        </is>
      </c>
      <c r="H10" s="2" t="inlineStr">
        <is>
          <t>https://eastcoastservicesinc.net</t>
        </is>
      </c>
      <c r="I10" s="2" t="inlineStr">
        <is>
          <t>Named president, Broward HQ, independent family shop since 1981, and at least three observable weak-systems signals (dated .html site, second tracking-style number, review mismatch 13 vs 380, address inconsistency). Size not confirmed but footprint points to the 10-25 range. Verify headcount and whether the Boca Raton Yelp address is a real second location on the call.</t>
        </is>
      </c>
      <c r="J10" s="2" t="inlineStr">
        <is>
          <t>Marketing &amp; Website Makeover</t>
        </is>
      </c>
      <c r="K10" s="2" t="inlineStr">
        <is>
          <t>Dated page-per-city .html website (ac-repair-pompano-beach.html, hvac-service-broward-county.html); toll-free second phone number alongside the 954 line; only 13 Yelp reviews while 380 sit on Birdeye (proof not reaching public profiles); Yelp listing shows a Boca Raton address (1101 S Rogers Cir) while site/directories show Pompano Beach (inconsistent listing data, or an unadvertised second location); no online booking or maintenance-plan page seen in snippets</t>
        </is>
      </c>
      <c r="L10" s="2" t="inlineStr">
        <is>
          <t>high</t>
        </is>
      </c>
      <c r="M10" s="2" t="inlineStr">
        <is>
          <t>Independent, family owned and operated since 1981</t>
        </is>
      </c>
      <c r="N10" s="2" t="inlineStr">
        <is>
          <t>Est. 10-25 employees: 45-year two-county residential + commercial shop with 380 Birdeye reviews; headcount not published in snippets</t>
        </is>
      </c>
      <c r="O10" s="2" t="inlineStr">
        <is>
          <t>1981</t>
        </is>
      </c>
      <c r="P10" s="2" t="inlineStr">
        <is>
          <t>Residential and commercial AC sales, installation, service/repair and maintenance agreements; serves Broward and Palm Beach counties (Fort Lauderdale, Deerfield, Boca, Boynton, Coconut Creek)</t>
        </is>
      </c>
      <c r="Q10" s="2" t="inlineStr">
        <is>
          <t>Not visible in snippets; Yelp 13 reviews, Birdeye 380 reviews</t>
        </is>
      </c>
      <c r="R10" s="2" t="inlineStr">
        <is>
          <t>Birdeye review platform (380 reviews on Birdeye profile); no field-service software visible in snippets</t>
        </is>
      </c>
      <c r="S10" s="2" t="inlineStr">
        <is>
          <t>Phone: confirmed | Owner: confirmed, single directory source (not BBB/DBPR) | Independent: Family owned and operated since 1981 per directories and site; no acquisition, PE, consolidator or franchise language found. Name-collision caution: 'East Coast Air Conditioning &amp; Refrigeration, Inc.' (Plantation) and other 'East Coast' HVAC names are unrelated and appear in the same searches. Dedicated 'acquired'/'partners with' searches could not be run (budget exhausted).</t>
        </is>
      </c>
      <c r="T10" s="2" t="inlineStr">
        <is>
          <t>Reputation: Birdeye 380 reviews (large base), Yelp 13. Licensed CAC1820140; serves Broward and Palm Beach counties (Fort Lauderdale, Deerfield, Boca, Boynton, Coconut Creek pages). Website is a dated static .html site (eastcoastservicesinc.net/ac-repair/ac-repair-pompano-beach.html) with city SEO pages; toll-free second number is an older marketing setup. Listed on Nextdoor (two pages), EZlocal, Manta, Yellow Pages. No hiring signals. The Yelp Boca Raton address is the one item to clear before quoting the Pompano address back to them.</t>
        </is>
      </c>
      <c r="U10" s="2" t="inlineStr">
        <is>
          <t>https://eastcoastservicesinc.net/ac-repair/ac-repair-pompano-beach.html (president named in search snippet for the company; also listed on Manta/Nextdoor directory results)</t>
        </is>
      </c>
      <c r="V10" s="2" t="inlineStr">
        <is>
          <t>https://eastcoastservicesinc.net/ac-repair/ac-repair-pompano-beach.html
https://eastcoastservicesinc.net/ac-repair/ac-repair-broward-county.html
https://eastcoastservicesinc.net/air-conditioning-service/hvac-service-broward-county.html
https://www.yelp.com/biz/east-coast-services-inc-air-conditioning-pompano-beach
https://reviews.birdeye.com/east-coast-services-inc-165408349787713
https://www.manta.com/c/mm2rbmf/east-coast-services-inc
https://www.yellowpages.com/pompano-beach-fl/mip/east-coast-services-air-conditioning-543978979
https://air-conditioning-repair-services.cmac.ws/east-coast-services-inc/3264/
https://us.nextdoor.com/pages/east-coast-services-pompano-beach-fl-1/
https://ezlocal.com/fl/pompano-beach/air-conditioning-contractor/094076621/reviews</t>
        </is>
      </c>
    </row>
    <row r="11">
      <c r="A11" s="2" t="inlineStr">
        <is>
          <t>A</t>
        </is>
      </c>
      <c r="B11" s="2" t="inlineStr">
        <is>
          <t>Ideal Air Systems Inc</t>
        </is>
      </c>
      <c r="C11" s="2" t="inlineStr">
        <is>
          <t>Broward</t>
        </is>
      </c>
      <c r="D11" s="2" t="inlineStr">
        <is>
          <t>Deerfield Beach</t>
        </is>
      </c>
      <c r="E11" s="2" t="inlineStr">
        <is>
          <t>Courtney Shipley</t>
        </is>
      </c>
      <c r="F11" s="2" t="inlineStr">
        <is>
          <t>President / Owner (BBB: Mr. Courtney Shipley, Owner; DBPR: Courtney Lester Shipley, Construction Financial Officer)</t>
        </is>
      </c>
      <c r="G11" s="2" t="inlineStr">
        <is>
          <t>(954) 426-2645</t>
        </is>
      </c>
      <c r="H11" s="2" t="inlineStr">
        <is>
          <t>http://idealairsystems.com/</t>
        </is>
      </c>
      <c r="I11" s="2" t="inlineStr">
        <is>
          <t>Owner-founder named and reachable, Deerfield Beach HQ, residential + commercial + generators, size at the small end of range (4-15). Meets the A bar via a named owner plus three or more observable weak-systems signals (http site, under-60 reviews, no booking, no license number shown, address inconsistency). No growth signal beyond the generator line; 35-year founder may be thinking about exit, which is also a reason to want clean systems</t>
        </is>
      </c>
      <c r="J11" s="2" t="inlineStr">
        <is>
          <t>Marketing &amp; Website Makeover</t>
        </is>
      </c>
      <c r="K11" s="2" t="inlineStr">
        <is>
          <t>(1) Website still plain http, no SSL padlock, dated page structure. (2) Only 23 Google reviews after 35 years; Yelp 1.0 on 2 reviews with no apparent response. (3) No online booking, no maintenance-plan page seen. (4) No CAC license number visible in site snippets. (5) Two different street addresses in public listings (590 vs 231 Goolsby Blvd). (6) bellsouth.net-style email suggests no company domain email in use. (7) Generator division already added, a second line of business running on the same thin systems</t>
        </is>
      </c>
      <c r="L11" s="2" t="inlineStr">
        <is>
          <t>high</t>
        </is>
      </c>
      <c r="M11" s="2" t="inlineStr">
        <is>
          <t>Independent, family-owned since 1991. Not PE-backed, not a franchise</t>
        </is>
      </c>
      <c r="N11" s="2" t="inlineStr">
        <is>
          <t>Roughly 4-15 employees (sources range 4-15; ZoomInfo band 11-50). Likely 3-6 trucks</t>
        </is>
      </c>
      <c r="O11" s="2" t="inlineStr">
        <is>
          <t>1991 (BBB business start 1/1/1991; founder started 'with $300 and a pickup truck' ~33-35 years ago)</t>
        </is>
      </c>
      <c r="P11" s="2" t="inlineStr">
        <is>
          <t>Residential + commercial HVAC installation, repair, maintenance; Generac standby generator installation/repair (factory trained); duct services; financing offered</t>
        </is>
      </c>
      <c r="Q11" s="2" t="inlineStr">
        <is>
          <t>4.3 (23 reviews, per aggregator); Birdeye 4.4 (25); Angi 4.8 (6); Porch 3.93 (15); Yelp 1.0 (2); BBB A+ (not accredited) / 23</t>
        </is>
      </c>
      <c r="R11" s="2" t="inlineStr">
        <is>
          <t>Birdeye review profile exists (25 reviews), so a review tool was set up at some point; no field-service software detected</t>
        </is>
      </c>
      <c r="S11" s="2" t="inlineStr">
        <is>
          <t>Phone: confirmed | Owner: confirmed (BBB + DBPR + ZoomInfo + LinkedIn) | Independent: Confirmed family-owned since 1991 on available evidence; founder-led; no acquisition, PE, consolidator or franchise language found. Not BBB-accredited. Dedicated 'acquired'/'partners with' searches could not be run (budget exhausted).</t>
        </is>
      </c>
      <c r="T11" s="2" t="inlineStr">
        <is>
          <t>BBB A+ (not accredited), business started 1/1/1991, file opened 4/28/1998, 35 years. Reviews are mixed and thin: Yelp 1.0 (2 reviews), Angi 4.8 (6), Birdeye 4.4 (25), Google-type 4.3 (23), Porch 3.93 (15); BuildZoom score 110 (top 4% of FL licensed contractors). Employee count varies 4-15 across sources. Services: residential + commercial HVAC, Generac standby generators (factory-trained), ducts, financing. Website is plain http (no SSL), Yellow Pages also lists it as 'Ideal A/C Systems'; LinkedIn shows a bellsouth.net email — dated tooling. Founder story: started 33 years ago with $300 and a pickup truck. No hiring signals.</t>
        </is>
      </c>
      <c r="U11" s="2" t="inlineStr">
        <is>
          <t>https://www.bbb.org/us/fl/deerfield-beach/profile/air-conditioning-contractor/ideal-air-systems-0633-4004211</t>
        </is>
      </c>
      <c r="V11" s="2" t="inlineStr">
        <is>
          <t>https://www.bbb.org/us/fl/deerfield-beach/profile/air-conditioning-contractor/ideal-air-systems-0633-4004211
https://www.myfloridalicense.com/LicenseDetail.asp?SID=&amp;id=557A377A3E2EA4A703E05E3F57695187
https://www.zoominfo.com/c/ideal-air-systems-inc/379984997
http://idealairsystems.com/about-us
http://idealairsystems.com/generators
https://reviews.birdeye.com/ideal-air-systems-inc-165406722967829
https://www.yelp.com/biz/ideal-air-systems-deerfield-beach-2
https://www.angi.com/companylist/us/fl/deerfield-beach/ideal-air-systems-inc-reviews-70773784.htm
https://pro.porch.com/deerfield-beach-fl/hvac-contractors/ideal-air-systems-1/pp
https://www.linkedin.com/in/courtney-shipley-2b546549/
https://www.procore.com/network/p/ideal-air-systems-inc-deerfield-beach</t>
        </is>
      </c>
    </row>
    <row r="12">
      <c r="A12" s="2" t="inlineStr">
        <is>
          <t>A</t>
        </is>
      </c>
      <c r="B12" s="2" t="inlineStr">
        <is>
          <t>Khoolex Air Conditioning (KHOOLEX LLC)</t>
        </is>
      </c>
      <c r="C12" s="2" t="inlineStr">
        <is>
          <t>Broward</t>
        </is>
      </c>
      <c r="D12" s="2" t="inlineStr">
        <is>
          <t>Hollywood</t>
        </is>
      </c>
      <c r="E12" s="2" t="inlineStr">
        <is>
          <t>Gustavo Ariel Arganaraz</t>
        </is>
      </c>
      <c r="F12" s="2" t="inlineStr">
        <is>
          <t>Owner / Managing Owner (personally holds CAC1819348)</t>
        </is>
      </c>
      <c r="G12" s="2" t="inlineStr">
        <is>
          <t>(954) 708-9102</t>
        </is>
      </c>
      <c r="H12" s="2" t="inlineStr">
        <is>
          <t>https://khoolexac.com/</t>
        </is>
      </c>
      <c r="I12" s="2" t="inlineStr">
        <is>
          <t>Owner-operated Hollywood (Broward) shop with a named, well-sourced owner (DBPR, BBB, LinkedIn), top-tier reputation (446 reviews at 5.0) signalling growth pressure, and at least three weak-systems signals (home-based office, no booking, vendor Gmail / no PO system). Reviews are already handled by NiceJob, so the gap is operations software, not marketing.</t>
        </is>
      </c>
      <c r="J12" s="2" t="inlineStr">
        <is>
          <t>Systems + AI Enablement</t>
        </is>
      </c>
      <c r="K12" s="2" t="inlineStr">
        <is>
          <t>(1) Home-based office on a residential street with 446 five-star reviews - demand has outgrown the back office. (2) No online booking, contact form only. (3) Owner personally holds the license and is 'Managing Owner' - he is qualifier, sales and dispatch. (4) Separate Gmail address for vendors (Khoolex4vendors@gmail.com) - no purchase-order or inventory system. (5) No careers page despite strong demand. (6) BBB A+ but not accredited.</t>
        </is>
      </c>
      <c r="L12" s="2" t="inlineStr">
        <is>
          <t>high</t>
        </is>
      </c>
      <c r="M12" s="2" t="inlineStr">
        <is>
          <t>Independent, family-owned LLC; owner is the license qualifier; not PE or franchise</t>
        </is>
      </c>
      <c r="N12" s="2" t="inlineStr">
        <is>
          <t>1-10 employees (ZoomInfo); likely 3-8 given 446 reviews</t>
        </is>
      </c>
      <c r="O12" s="2" t="inlineStr">
        <is>
          <t>2018 (LLC L18000033099; BBB business start 3/5/2018)</t>
        </is>
      </c>
      <c r="P12" s="2" t="inlineStr">
        <is>
          <t>Residential and light-commercial AC maintenance, repair and installation; Comfort Club memberships (2 or 3 visits/year, no diagnostic fee, 20-25% off repairs, priority scheduling)</t>
        </is>
      </c>
      <c r="Q12" s="2" t="inlineStr">
        <is>
          <t>5.0 (per NiceJob aggregate) / Not isolated; NiceJob aggregate 446 reviews at 5.0 across Google/Yelp/Facebook; Yelp 120 reviews at 4.9</t>
        </is>
      </c>
      <c r="R12" s="2" t="inlineStr">
        <is>
          <t>NiceJob (review-request engine, active)</t>
        </is>
      </c>
      <c r="S12" s="2" t="inlineStr">
        <is>
          <t>Phone: confirmed | Owner: confirmed (3 independent sources) | Independent: Confirmed independent on available evidence: single-owner LLC (Sunbiz L18000033099, formed 2018), owner is license qualifier, 1-10 employees; no acquisition, PE, consolidator or franchise language in any snippet. Caveat: dedicated '&lt;company&gt; acquired' / 'partners with' searches could not be run (session WebSearch budget exhausted); independence rests on absence of contrary evidence.</t>
        </is>
      </c>
      <c r="T12" s="2" t="inlineStr">
        <is>
          <t>METHOD NOTE (applies to all 8 records): verification used cached WebSearch result snippets (BBB, Yelp, DBPR, ZoomInfo, Sunbiz, directories) gathered earlier this session; live WebSearch budget is exhausted, WebFetch is egress-blocked, and Apollo people search is not on this account's plan. KHOOLEX: BBB business start 3/5/2018, file opened 10/10/2018, A+ but NOT accredited, LLC; marketing claims '15+ years experience' (owner's personal experience, not the entity). Reputation: Yelp 4.9-5.0 with 120 reviews; NiceJob aggregate 446 reviews at 5.0 (Google/Yelp/Facebook). No online booking (contact form only); vendor email is a Gmail address (Khoolex4vendors@gmail.com); 'Comfort Club' maintenance memberships (2 or 3 visits/yr). Active Facebook/Instagram/Nextdoor. No hiring signals. Appears in Yelp top-10 lists for Hollywood, Davie, Weston, Plantation, Hallandale — strong demand footprint for a home-based 1-10 person shop.</t>
        </is>
      </c>
      <c r="U12" s="2" t="inlineStr">
        <is>
          <t>https://www.bbb.org/us/fl/hollywood/profile/air-conditioning-contractor/khoolex-air-conditioning-0633-90427152</t>
        </is>
      </c>
      <c r="V12" s="2" t="inlineStr">
        <is>
          <t>https://khoolexac.com/
https://khoolexac.com/about/
https://khoolexac.com/contact/
https://khoolexac.com/maintenance-2/
https://www.bbb.org/us/fl/hollywood/profile/air-conditioning-contractor/khoolex-air-conditioning-0633-90427152
https://www.myfloridalicense.com/LicenseDetail.asp?SID=&amp;id=20B238416CD0F2D1A71E2D5C96837D85
https://www.linkedin.com/in/gustavo-arganaraz-71a084169/
https://www.zoominfo.com/c/khoolex-air-conditioning/528761649
https://nicejob.com/khoolex-air-conditioning
https://www.yelp.com/biz/khoolex-air-conditioning-hollywood?start=40</t>
        </is>
      </c>
    </row>
    <row r="13">
      <c r="A13" s="2" t="inlineStr">
        <is>
          <t>A</t>
        </is>
      </c>
      <c r="B13" s="2" t="inlineStr">
        <is>
          <t>Natal Air Conditioning USA LLC</t>
        </is>
      </c>
      <c r="C13" s="2" t="inlineStr">
        <is>
          <t>Broward</t>
        </is>
      </c>
      <c r="D13" s="2" t="inlineStr">
        <is>
          <t>Pompano Beach</t>
        </is>
      </c>
      <c r="E13" s="2" t="inlineStr">
        <is>
          <t>Squib Schreiber</t>
        </is>
      </c>
      <c r="F13" s="2" t="inlineStr">
        <is>
          <t>President &amp; CEO / Managing Member</t>
        </is>
      </c>
      <c r="G13" s="2" t="inlineStr">
        <is>
          <t>(954) 788-0099</t>
        </is>
      </c>
      <c r="H13" s="2" t="inlineStr">
        <is>
          <t>https://www.coolairflorida.com/</t>
        </is>
      </c>
      <c r="I13" s="2" t="inlineStr">
        <is>
          <t>Owner-operated, family-run, Pompano Beach HQ, ~15 employees / ~$6.4M, named CEO and qualifier. Concrete growth signal: five open roles including a warehouse coordinator and office admin, which means they are building the management/inventory layer right now. Two weak-systems signals (Yelp 3.3 unaddressed, license visibility/renewal question). Same city as Ann's FMBS proof story</t>
        </is>
      </c>
      <c r="J13" s="2" t="inlineStr">
        <is>
          <t>Operations Audit &amp; Strategic Roadmap (with Systems + AI Enablement for inventory/POs as the follow-on)</t>
        </is>
      </c>
      <c r="K13" s="2" t="inlineStr">
        <is>
          <t>(1) Hiring a warehouse coordinator, office admin, install lead and service techs at the same time = scaling faster than the office systems. (2) Yelp 3.3 on 20 reviews vs 4.7 elsewhere = no review-response/review-request discipline. (3) Three founding dates (1988/1997/2009) and two legal entities using the Natal name (Natal Air Conditioning Inc and Natal Air Conditioning USA LLC, plus Special Cables America DBA) = recent restructure, not fully cleaned up in public records. (4) DBPR snippet shows the CAC expiring 8/31/2026, confirm renewal. (5) License number not visible in site snippets. NOTE: the seed's 'Cousin's Air at 503 S Dixie with the same phone' did NOT verify: Cousin's Air Inc's BBB shows 3300 SW 15th St, Deerfield Beach, started 1995, principals James Brescia (Pres), John Brescia (VP), Alyson Cousins (Office Mgr). Treat the merger angle as unconfirmed; the restructure/two-entity angle is the real one</t>
        </is>
      </c>
      <c r="L13" s="2" t="inlineStr">
        <is>
          <t>high</t>
        </is>
      </c>
      <c r="M13" s="2" t="inlineStr">
        <is>
          <t>Independent, family-owned (Schreiber family). Not PE-backed, not a franchise</t>
        </is>
      </c>
      <c r="N13" s="2" t="inlineStr">
        <is>
          <t>~15 employees (ZoomInfo), est. revenue $6.4M; other sources show 11-50 band. Roughly 8-12 trucks</t>
        </is>
      </c>
      <c r="O13" s="2" t="inlineStr">
        <is>
          <t>Conflicting: website says 'since 1988'; BBB 'Business Started 10/10/1997', BBB file opened 2002, BBB accredited 1/6/2012; current LLC filing number L09000099671 implies the LLC itself was formed ~2009</t>
        </is>
      </c>
      <c r="P13" s="2" t="inlineStr">
        <is>
          <t>Residential + commercial HVAC: AC installation, repair, maintenance plans (buy 1 visit, 2nd 50% off), air handlers, condensing units, electric heat strips, indoor air quality; serves Broward, Palm Beach, Miami-Dade</t>
        </is>
      </c>
      <c r="Q13" s="2" t="inlineStr">
        <is>
          <t>4.7 (shown on the site's survey page; platform not confirmed as Google). Yelp 3.3; Facebook 92% recommend (9); BBB A+ / 242 (per site survey widget); Yelp 20</t>
        </is>
      </c>
      <c r="R13" s="2" t="inlineStr">
        <is>
          <t>Not identified. Site uses a service-request form plus a survey/review-us page (vendor unknown)</t>
        </is>
      </c>
      <c r="S13" s="2" t="inlineStr">
        <is>
          <t>Phone: confirmed | Owner: confirmed (BBB + ZoomInfo + DBPR) | Independent: Family-owned (Schreiber family), not PE/franchise on available evidence — BUT one anomaly to clear on the call: the BBB 'accredited AC contractors near Pompano Beach' page lists 'Cousin's Air, Inc.' at 503 S Dixie Hwy E, Pompano Beach with the SAME phone (954) 788-0099. Cousin's Air's own BBB profile is Deerfield Beach (3300 SW 15th St, President James Brescia, phones 954-228-5965 / 954-596-6999), and a search pairing the two names found no link, so this is most likely a BBB directory data error rather than a merger — ask directly. Dedicated 'acquired'/'partners with' searches could not be run (budget exhausted).</t>
        </is>
      </c>
      <c r="T13" s="2" t="inlineStr">
        <is>
          <t>BBB A+, accredited since 1/6/2012; BBB 'Business Started 10/10/1997' vs website/Facebook 'since 1988' vs one snippet 'since 2012' — founding date is inconsistent across sources. Current LLC filing L09000099671 (~2009); DBPR also shows a separate registrant 'SPECIAL CABLES AMERICA, INC. DBA NATAL AIR CONDITIONING USA' and D&amp;B/LinkedIn show an older 'Natal Air Conditioning, Inc.' — multiple legal entities use the trade name. DBPR snippet shows CAC057413 expiring 8/31/2026 (today is 10/3/2026) — confirm renewal. Size: ZoomInfo 15 employees (other sources 11-50), revenue est. $6.4M. Reviews: Yelp 3.3 (20 reviews, weak); site survey widget 4.7 from 242; Facebook 92% recommend (9). HIRING NOW: HVAC Service Technician ($25-30/hr + commission), HVAC Installer, HVAC Change Out Lead, Warehouse Coordinator, Office Assistant/HVAC Office Administrator ($20-24/hr) via jobtarget/Glassdoor/Indeed; careers page says 'growing team'. Two web domains (coolairflorida.com and natalsairconditioning.com). Online 'Schedule Service' form and maintenance plans exist.</t>
        </is>
      </c>
      <c r="U13" s="2" t="inlineStr">
        <is>
          <t>https://www.bbb.org/us/fl/pompano-beach/profile/air-conditioning-contractor/natal-air-conditioning-usa-llc-0633-31000750</t>
        </is>
      </c>
      <c r="V13" s="2" t="inlineStr">
        <is>
          <t>https://www.bbb.org/us/fl/pompano-beach/profile/air-conditioning-contractor/natal-air-conditioning-usa-llc-0633-31000750
https://www.zoominfo.com/c/natal-air-conditioning-usa-llc/354985659
https://www.coolairflorida.com/contact/
https://www.coolairflorida.com/careers/
https://www.coolairflorida.com/ac-maintenance/
https://www.coolairflorida.com/survey/
https://www.yelp.com/biz/natal-air-conditioning-usa-pompano-beach-3
https://www.myfloridalicense.com/LicenseDetail.asp?SID=&amp;id=8B6449C2A6EA6EBAB68DC4CDBFC89BE9
https://www.myfloridalicense.com/LicenseDetail.asp?SID=&amp;id=389CDB69F0475D742C89484A18E89698
https://www.myfloridalicense.com/LicenseDetail.asp?SID=&amp;id=3684AFF01110F7923853ABF992A0970E
https://www.glassdoor.com/job-listing/hvac-change-out-lead-natal-air-conditioning-JV_IC1154180_KO0,20_KE21,43.htm?jl=1009819324430
https://www.jobtarget.com/jobs/jt-4xbty3d537/hvac-service-technician-pompano-beach-florida
https://www.linkedin.com/in/margie-schreiber-9a465183/
https://www.bbb.org/us/fl/deerfield-beach/profile/air-conditioning-contractor/cousins-air-inc-0633-90078254</t>
        </is>
      </c>
    </row>
    <row r="14">
      <c r="A14" s="2" t="inlineStr">
        <is>
          <t>A</t>
        </is>
      </c>
      <c r="B14" s="2" t="inlineStr">
        <is>
          <t>Pembroke Pines Air Conditioning</t>
        </is>
      </c>
      <c r="C14" s="2" t="inlineStr">
        <is>
          <t>Broward</t>
        </is>
      </c>
      <c r="D14" s="2" t="inlineStr">
        <is>
          <t>Miramar</t>
        </is>
      </c>
      <c r="E14" s="2" t="inlineStr">
        <is>
          <t>Richard Valdes</t>
        </is>
      </c>
      <c r="F14" s="2" t="inlineStr">
        <is>
          <t>President</t>
        </is>
      </c>
      <c r="G14" s="2" t="inlineStr">
        <is>
          <t>(954) 450-8448</t>
        </is>
      </c>
      <c r="H14" s="2" t="inlineStr">
        <is>
          <t>pembrokepinesair.com (primary; has /employment page and an unfinished '/blank' page); also runs pembrokepines-airconditioning.com and coopercity-airconditioning.com microsites</t>
        </is>
      </c>
      <c r="I14" s="2" t="inlineStr">
        <is>
          <t>Owner-operated Broward shop under 25 employees with a named president (Richard Valdes, CAC1818232), a concrete growth signal (hiring now, VP of Operations in place), multiple service lines (AC, refrigeration, pool heat, duct cleaning), and at least three weak-systems signals (three phone numbers, three websites, no Google review footprint). Closest match to the FMBS story of putting the right managers over the right parts of the business.</t>
        </is>
      </c>
      <c r="J14" s="2" t="inlineStr">
        <is>
          <t>Operations Audit &amp; Strategic Roadmap</t>
        </is>
      </c>
      <c r="K14" s="2" t="inlineStr">
        <is>
          <t>Three different phone numbers across listings (954-450-8448, 954-517-1990, 305-628-1133) - tracking/inconsistent NAP; at least three domains and microsites for one shop; founding year listed five different ways (1983/1992/1994/1996/1998); no Google rating surfaced in any snippet (Yelp 4.6 / 44 is the visible review footprint); no BBB profile; unfinished '/blank' page on main site; license number not visible in site snippets; no booking widget; hiring now</t>
        </is>
      </c>
      <c r="L14" s="2" t="inlineStr">
        <is>
          <t>high</t>
        </is>
      </c>
      <c r="M14" s="2" t="inlineStr">
        <is>
          <t>Independent, family-owned; owner Richard still hands-on per Nextdoor/Yelp reviews</t>
        </is>
      </c>
      <c r="N14" s="2" t="inlineStr">
        <is>
          <t>Under 25 employees (ZoomInfo; another source says 11-50), revenue under $5M; est. 5-12 trucks</t>
        </is>
      </c>
      <c r="O14" s="2" t="inlineStr">
        <is>
          <t>c. 1992 (listings conflict: 1992 Yelp, 1994/1996 Nextdoor, 1998 BlueBook; LinkedIn shows Valdes as President since Aug 1983)</t>
        </is>
      </c>
      <c r="P14" s="2" t="inlineStr">
        <is>
          <t>AC sales, service and repair; indoor air quality and duct cleaning; pool heating; commercial refrigeration; residential + commercial; installation, maintenance, emergency repair</t>
        </is>
      </c>
      <c r="Q14" s="2" t="inlineStr"/>
      <c r="R14" s="2" t="inlineStr">
        <is>
          <t>None detected</t>
        </is>
      </c>
      <c r="S14" s="2" t="inlineStr">
        <is>
          <t>Phone: confirmed | Owner: confirmed | Independent: confirmed - family owned (established 1992 per Yelp/own site; other listings say 1994, 1996 or 1998), &lt;25 employees (ZoomInfo) / 11-50 (other), &lt;$5M revenue; no acquisition, partnership, PE or franchise hits. Runs pembrokepines-airconditioning.com and coopercity-airconditioning.com microsites (confirmed by indexed page titles)</t>
        </is>
      </c>
      <c r="T14" s="2" t="inlineStr">
        <is>
          <t>No BBB profile exists for this business (only BBB category pages returned) - not accredited/not rated. Hiring signal: 'now hiring' employment page at pembrokepinesair.com/employment. Yelp 4.6 with 44 reviews; Nextdoor reviews praise 'Richard' by name (owner hands-on) and mention a tech 'Ricky'. Founding year is inconsistent across listings (1992/1994/1996/1998) and ZoomInfo claims Valdes has been President since Aug 1983 - treat tenure claims loosely. DBPR lists the licensee's address as Hollywood, FL. There is also a separate Nextdoor page 'Pembroke Pines Air Conditioning Repair' (10 faves) that may be a different or duplicate listing - confirm you are speaking to Valdes's company. Verification basis: cached Yelp, Nextdoor, LinkedIn, DBPR, ZoomInfo, Manta and Yellow Pages snippets; no live lookups possible.</t>
        </is>
      </c>
      <c r="U14" s="2" t="inlineStr">
        <is>
          <t>https://www.linkedin.com/in/richard-valdes-51975051/</t>
        </is>
      </c>
      <c r="V14" s="2" t="inlineStr">
        <is>
          <t>https://nextdoor.com/pages/pembroke-pines-air-conditioning-miramar-fl/
https://www.linkedin.com/in/richard-valdes-51975051/
https://www.myfloridalicense.com/LicenseDetail.asp?SID=&amp;id=86EFF16FBD3BC8510AB52E90DA0AE7BA
https://www.yelp.com/biz/pembroke-pines-air-conditioning-miramar
https://www.zoominfo.com/c/pembroke-pines-air-conditioning/368105152
https://www.thebluebook.com/iProView/863938/pembroke-pines-air-conditioning/subcontractors/
https://www.yellowpages.com/miramar-fl/mip/pembroke-pines-air-conditioning-467859399
https://pembrokepinesair.com/
http://pembrokepines-airconditioning.com/
https://www.airconditioningprofessionals.com/4815/pembroke-pines-air-conditioning</t>
        </is>
      </c>
    </row>
    <row r="15">
      <c r="A15" s="2" t="inlineStr">
        <is>
          <t>A</t>
        </is>
      </c>
      <c r="B15" s="2" t="inlineStr">
        <is>
          <t>Pro Comfort AC (Pro Comfort AC LLC)</t>
        </is>
      </c>
      <c r="C15" s="2" t="inlineStr">
        <is>
          <t>Broward</t>
        </is>
      </c>
      <c r="D15" s="2" t="inlineStr">
        <is>
          <t>Deerfield Beach</t>
        </is>
      </c>
      <c r="E15" s="2" t="inlineStr">
        <is>
          <t>Nikita V. Novak</t>
        </is>
      </c>
      <c r="F15" s="2" t="inlineStr">
        <is>
          <t>Managing Member (BBB principal)</t>
        </is>
      </c>
      <c r="G15" s="2" t="inlineStr">
        <is>
          <t>(954) 695-2979</t>
        </is>
      </c>
      <c r="H15" s="2" t="inlineStr">
        <is>
          <t>https://www.procomfortac.com/</t>
        </is>
      </c>
      <c r="I15" s="2" t="inlineStr">
        <is>
          <t>Young (Aug 2023) Broward shop with clear growth signals (two CAC qualifiers, 'expands services' press release July 2026, new BBB accreditation) and named owners, plus multiple weak-systems signals (two phone numbers, no reviews, no booking, inconsistent hours). Exactly the stage where the FMBS roadmap story applies.</t>
        </is>
      </c>
      <c r="J15" s="2" t="inlineStr">
        <is>
          <t>Operations Audit &amp; Strategic Roadmap</t>
        </is>
      </c>
      <c r="K15" s="2" t="inlineStr">
        <is>
          <t>(1) Two public phone numbers (954-695-2979 on site/BBB vs 954-363-9191 on BuildZoom/Zumvu) and two emails (info@ vs Gmail). (2) Conflicting published hours: Mon-Fri 8-6 on site vs Mon-Sat 9-5 on directories. (3) No visible reviews anywhere third-party (YellowPages 0, BuildZoom 0, BBB none) - no review-request engine despite paying for press releases and BBB accreditation (since 5/13/2026). (4) CAC license number not visible in site snippets. (5) No online booking widget, request form only. (6) Three-year-old shop with two licensed qualifiers and expansion press releases - growing faster than its systems.</t>
        </is>
      </c>
      <c r="L15" s="2" t="inlineStr">
        <is>
          <t>high</t>
        </is>
      </c>
      <c r="M15" s="2" t="inlineStr">
        <is>
          <t>Independent, family-owned LLC with two principals; not PE or franchise</t>
        </is>
      </c>
      <c r="N15" s="2" t="inlineStr">
        <is>
          <t>Small, roughly 4-10 people (BBB names four people; two CAC-licensed qualifiers on staff)</t>
        </is>
      </c>
      <c r="O15" s="2" t="inlineStr">
        <is>
          <t>2023 (LLC incorporated 4/5/2023; BBB business start 8/4/2023)</t>
        </is>
      </c>
      <c r="P15" s="2" t="inlineStr">
        <is>
          <t>Residential and commercial HVAC: AC repair, installation, heating, indoor air quality, preventative maintenance plans, commercial split and VRF systems; 24/7 emergency, price-match guarantee; serves Broward and Palm Beach</t>
        </is>
      </c>
      <c r="Q15" s="2" t="inlineStr">
        <is>
          <t>Not found in snippets / Not found; YellowPages shows 'Be the first to review', BuildZoom has no reviews, BBB has no customer reviews</t>
        </is>
      </c>
      <c r="R15" s="2" t="inlineStr">
        <is>
          <t>None visible. Syndicated press releases via MarketersMedia / EIN Presswire (July 2026) and multi-city location pages (Fort Lauderdale, Plantation, Boca Raton) indicate an active marketing agency</t>
        </is>
      </c>
      <c r="S15" s="2" t="inlineStr">
        <is>
          <t>Phone: confirmed | Owner: confirmed | Independent: confirmed - LLC incorporated 4/5/2023, business started 8/4/2023 (BBB); family-owned per own copy; no acquisition, partnership, PE or franchise hits. The July 2026 'expands HVAC services' items (financialcontent/MarketersMedia, EIN Presswire, NatLawReview, WBOC) are self-issued press releases about service-area expansion into Boca Raton/Palm Beach, not a change of ownership</t>
        </is>
      </c>
      <c r="T15" s="2" t="inlineStr">
        <is>
          <t>Very young company (~3 years) in visible growth/marketing mode: multiple 2026 press releases, BBB Accredited only since 5/13/2026 (A+), BuildZoom score 94 with zero reviews there, and no Google or Yelp star rating surfaced in any snippet - reputation footprint is thin despite the PR. One BBB snippet (older) said 'not rated, in business under 6 months.' Hours inconsistent across listings (Mon-Fri 8-6 with 24/7 emergency vs Mon-Sat 9-5). Location pages for Fort Lauderdale, Plantation, Tamarac, Boca Raton; commercial VRF/split-system pages suggest commercial ambitions. Names suggest Russian-speaking principals (Novak, Pesok, Kuznetsov). Verification basis: cached BBB, Yelp, BuildZoom, Yellow Pages and press-release snippets; no live lookups possible.</t>
        </is>
      </c>
      <c r="U15" s="2" t="inlineStr">
        <is>
          <t>https://www.bbb.org/us/fl/deerfield-beach/profile/air-conditioning-contractor/pro-comfort-ac-0633-92056426</t>
        </is>
      </c>
      <c r="V15" s="2" t="inlineStr">
        <is>
          <t>https://www.procomfortac.com/
https://www.procomfortac.com/about-us/
https://www.procomfortac.com/contact/
https://www.bbb.org/us/fl/deerfield-beach/profile/air-conditioning-contractor/pro-comfort-ac-0633-92056426
https://www.buildzoom.com/contractor/pro-comfort-ac-fl
https://www.yelp.com/biz/pro-comfort-ac-deerfield-beach
https://www.yellowpages.com/deerfield-beach-fl/mip/pro-comfort-ac-580103582
https://zumvu.com/procomfortac/
https://www.financialcontent.com/article/marketersmedia-2026-7-24-pro-comfort-ac-expands-hvac-services-in-deerfield-beach-florida
https://natlawreview.com/press-releases/pro-comfort-ac-expands-expert-hvac-company-services-deerfield-beach-same-day</t>
        </is>
      </c>
    </row>
    <row r="16">
      <c r="A16" s="2" t="inlineStr">
        <is>
          <t>A</t>
        </is>
      </c>
      <c r="B16" s="2" t="inlineStr">
        <is>
          <t>Vital A/C Solutions, Inc.</t>
        </is>
      </c>
      <c r="C16" s="2" t="inlineStr">
        <is>
          <t>Broward</t>
        </is>
      </c>
      <c r="D16" s="2" t="inlineStr">
        <is>
          <t>Margate</t>
        </is>
      </c>
      <c r="E16" s="2" t="inlineStr">
        <is>
          <t>Warley Beltrame Vital</t>
        </is>
      </c>
      <c r="F16" s="2" t="inlineStr">
        <is>
          <t>Owner</t>
        </is>
      </c>
      <c r="G16" s="2" t="inlineStr">
        <is>
          <t>(954) 821-8640</t>
        </is>
      </c>
      <c r="H16" s="2" t="inlineStr">
        <is>
          <t>https://www.vitalacsolutions.com/</t>
        </is>
      </c>
      <c r="I16" s="2" t="inlineStr">
        <is>
          <t>Broward (Margate) family-owned residential + commercial shop with a named owner, a sourced phone and address, and at least three observable weak-systems signals: under-60 reviews split across Yelp and Nearby Now with no Google count surfacing, a Craigslist ad for leads, and no license number / booking / maintenance-plan link in any snippet. Size is unconfirmed and may sit at the small end of the 5-15 range.</t>
        </is>
      </c>
      <c r="J16" s="2" t="inlineStr">
        <is>
          <t>Marketing &amp; Website Makeover</t>
        </is>
      </c>
      <c r="K16" s="2" t="inlineStr">
        <is>
          <t>Reviews are split across platforms and under 60 on each: Yelp 4.7 with 29 reviews (33 on an older listing page), Nearby Now 5.0 with 44 reviews; Google rating/count did not surface in search. Still running a Craigslist 'Air Conditioning Services' ad (Pompano Beach) for leads. No CAC license number, maintenance-plan page or online booking link seen in any snippet. Owner is the named public face of the business. Apollo first indexed the company in 2021 (weak, unverified hint of a recent start).</t>
        </is>
      </c>
      <c r="L16" s="2" t="inlineStr">
        <is>
          <t>high</t>
        </is>
      </c>
      <c r="M16" s="2" t="inlineStr">
        <is>
          <t>Independent; family owned and operated. Owner Warley Beltrame Vital (Yelp lists 'Warley V., Business Owner').</t>
        </is>
      </c>
      <c r="N16" s="2" t="inlineStr">
        <is>
          <t>Unknown; small owner-run shop (suite office, 29-44 reviews per platform suggests roughly 1-5 trucks). Unconfirmed.</t>
        </is>
      </c>
      <c r="O16" s="2" t="inlineStr"/>
      <c r="P16" s="2" t="inlineStr">
        <is>
          <t>Residential and commercial AC repair, installation and maintenance across Broward and Palm Beach counties</t>
        </is>
      </c>
      <c r="Q16" s="2" t="inlineStr"/>
      <c r="R16" s="2" t="inlineStr">
        <is>
          <t>Nearby Now (review/check-in widget). No Housecall Pro, Jobber or ServiceTitan link surfaced.</t>
        </is>
      </c>
      <c r="S16" s="2" t="inlineStr"/>
      <c r="T16" s="2" t="inlineStr"/>
      <c r="U16" s="2" t="inlineStr">
        <is>
          <t>https://www.yelp.com/biz/vital-a-c-solutions-margate-4 (Yelp 'Warley V., Business Owner'); full name from vitalacsolutions.com site copy via search summary</t>
        </is>
      </c>
      <c r="V16" s="2" t="inlineStr">
        <is>
          <t>https://www.yelp.com/biz/vital-a-c-solutions-margate-4
https://www.claimspages.com/providers/vital-ac-solutions-inc-9548218640/
https://www.nearbynow.co/profile/air-conditioning/vital-ac-solutions-air-conditioning-heating/fl/pompano%20beach
https://nextdoor.com/pages/vital-ac-solutions/
https://www.buildzoom.com/contractor/vital-a-c-solutions-inc
https://www.southfloridacontractors.com/contractors/vital-a-c-solutions-inc/
https://www.craigslist.org/view/d/pompano-beach-air-conditioning-services/mrDdBsBSDYhShCbNgowcLP
https://www.vitalacsolutions.com/
Apollo.io organizations lookup (free tier): record 'Vital A/C Solutions, Inc', domain vitalacsolutions.com</t>
        </is>
      </c>
    </row>
    <row r="17">
      <c r="A17" s="2" t="inlineStr">
        <is>
          <t>A</t>
        </is>
      </c>
      <c r="B17" s="2" t="inlineStr">
        <is>
          <t>B W Air Conditioning Inc</t>
        </is>
      </c>
      <c r="C17" s="2" t="inlineStr">
        <is>
          <t>Broward</t>
        </is>
      </c>
      <c r="D17" s="2" t="inlineStr">
        <is>
          <t>Pompano Beach</t>
        </is>
      </c>
      <c r="E17" s="2" t="inlineStr">
        <is>
          <t>Fabio Calderon</t>
        </is>
      </c>
      <c r="F17" s="2" t="inlineStr">
        <is>
          <t>Owner-operator</t>
        </is>
      </c>
      <c r="G17" s="2" t="inlineStr">
        <is>
          <t>(954) 565-7369</t>
        </is>
      </c>
      <c r="H17" s="2" t="inlineStr">
        <is>
          <t>bwairconditioning.com</t>
        </is>
      </c>
      <c r="I17" s="2" t="inlineStr">
        <is>
          <t>Owner-operated Pompano Beach HVAC contractor with 18 employees (in range), 40+ years in business, a named decision maker (Fabio Calderon) and two observable weak-systems signals (duplicate agency-hosted Wix site, Mon-Fri 7-4 phone-only intake), plus a probable ownership transition implied by the company initials. Phone, owner and headcount come from a single source (HomeAdvisor) and were not re-verified this pass.</t>
        </is>
      </c>
      <c r="J17" s="2" t="inlineStr">
        <is>
          <t>Marketing &amp; Website Makeover</t>
        </is>
      </c>
      <c r="K17" s="2" t="inlineStr">
        <is>
          <t>Two websites live: bwairconditioning.com plus a duplicate on the marketing agency's Wix Studio subdomain (quickemarketing.wixstudio.com/bwair) - agency-controlled, split web presence; office hours Mon-Fri 7am-4pm only with no weekend or after-hours intake seen; relies on a HomeAdvisor pay-per-lead listing; Google rating/review count, CAC license number and online booking not surfaced in search.</t>
        </is>
      </c>
      <c r="L17" s="2" t="inlineStr">
        <is>
          <t>medium</t>
        </is>
      </c>
      <c r="M17" s="2" t="inlineStr">
        <is>
          <t>Independent, owner-operated (Fabio Calderon per HomeAdvisor); the 'B W' initials do not match the current owner's name, which suggests a prior ownership change (unverified); no private-equity or franchise indicators</t>
        </is>
      </c>
      <c r="N17" s="2" t="inlineStr">
        <is>
          <t>18 employees (HomeAdvisor) - roughly 8-12 trucks, squarely in range</t>
        </is>
      </c>
      <c r="O17" s="2" t="inlineStr">
        <is>
          <t>About 1980s (HomeAdvisor: 40+ years in business)</t>
        </is>
      </c>
      <c r="P17" s="2" t="inlineStr">
        <is>
          <t>Residential and commercial air conditioning service and installation (HomeAdvisor profile); full service list not captured</t>
        </is>
      </c>
      <c r="Q17" s="2" t="inlineStr"/>
      <c r="R17" s="2" t="inlineStr">
        <is>
          <t>Second website hosted on marketing agency's Wix Studio account (quickemarketing.wixstudio.com/bwair); field-service software not identified</t>
        </is>
      </c>
      <c r="S17" s="2" t="inlineStr">
        <is>
          <t>Phone: confirmed | Owner: confirmed, but only via company-authored content | Independent: Owner-operated and independent on available evidence; no acquisition, PE, consolidator or franchise language found. Supporting detail for the researcher's 'prior ownership change' hypothesis: Sunbiz entity 'B W AIR CONDITIONING, INC.' is P12000072084 (a 2012 Florida corporation) while marketing says 'over 40 years in South Florida' — consistent with a 2012 re-incorporation or buyout of an older B W brand. Dedicated 'acquired'/'partners with' searches could not be run (budget exhausted).</t>
        </is>
      </c>
      <c r="T17" s="2" t="inlineStr">
        <is>
          <t>ZoomInfo: 18 employees — the largest headcount on this list after Natal; Birdeye 219 reviews at 5.0; Yelp listing with 45 photos. Hours Mon-Fri 7:00 AM-4:00 PM, closed Sat/Sun (no weekend/after-hours capture). Full-service residential + commercial + new construction. Two web properties: bwairconditioning.com plus an agency-hosted Wix Studio site (quickemarketing.wixstudio.com/bwair) — duplicate web presence. Facebook page active. No hiring signals seen.</t>
        </is>
      </c>
      <c r="U17" s="2" t="inlineStr">
        <is>
          <t>https://www.homeadvisor.com/rated.BWAIRCONDITIONINGINC.31724995.html</t>
        </is>
      </c>
      <c r="V17" s="2" t="inlineStr">
        <is>
          <t>https://www.homeadvisor.com/rated.BWAIRCONDITIONINGINC.31724995.html</t>
        </is>
      </c>
    </row>
    <row r="18">
      <c r="A18" s="2" t="inlineStr">
        <is>
          <t>A</t>
        </is>
      </c>
      <c r="B18" s="2" t="inlineStr">
        <is>
          <t>Cajun Bear AC Repair LLC</t>
        </is>
      </c>
      <c r="C18" s="2" t="inlineStr">
        <is>
          <t>Broward</t>
        </is>
      </c>
      <c r="D18" s="2" t="inlineStr">
        <is>
          <t>Fort Lauderdale</t>
        </is>
      </c>
      <c r="E18" s="2" t="inlineStr">
        <is>
          <t>Richard Comment</t>
        </is>
      </c>
      <c r="F18" s="2" t="inlineStr">
        <is>
          <t>President</t>
        </is>
      </c>
      <c r="G18" s="2" t="inlineStr">
        <is>
          <t>(954) 850-1204</t>
        </is>
      </c>
      <c r="H18" s="2" t="inlineStr"/>
      <c r="I18" s="2" t="inlineStr">
        <is>
          <t>Named owner with title (Richard Comment, President), Broward HQ, independent, started 2021 and visibly growing (BBB, D&amp;B, 4.7 Yelp), plus two-plus observable weak-systems signals (no website, directory inconsistency, thin review count). Size is unverified and should be confirmed on the call.</t>
        </is>
      </c>
      <c r="J18" s="2" t="inlineStr">
        <is>
          <t>Marketing &amp; Website Makeover</t>
        </is>
      </c>
      <c r="K18" s="2" t="inlineStr">
        <is>
          <t>1) No company website in any search result; presence is directories only. 2) Directories disagree on location: Yelp shows ZIP 33311, chamberofcommerce.com shows 33321 (a Tamarac ZIP). 3) 15 Yelp reviews; no Google review count visible (under the 60-review mark). 4) No CAC license number visible on any listing snippet. 5) No online booking path. 6) Four-year-old LLC with a BBB profile and D&amp;B record but no owned web presence, i.e. growing on referrals without systems.</t>
        </is>
      </c>
      <c r="L18" s="2" t="inlineStr">
        <is>
          <t>medium</t>
        </is>
      </c>
      <c r="M18" s="2" t="inlineStr">
        <is>
          <t>Independent, owner-operated LLC; markets itself as the 'no big companies' choice</t>
        </is>
      </c>
      <c r="N18" s="2" t="inlineStr">
        <is>
          <t>Unknown; likely under 10 (owner-run LLC formed 2021; no employee count surfaced). Confirm truck count on the call.</t>
        </is>
      </c>
      <c r="O18" s="2" t="inlineStr">
        <is>
          <t>2021 (Florida LLC document no. L21000010157)</t>
        </is>
      </c>
      <c r="P18" s="2" t="inlineStr">
        <is>
          <t>Residential and commercial HVAC maintenance, repairs and emergency service</t>
        </is>
      </c>
      <c r="Q18" s="2" t="inlineStr">
        <is>
          <t>Google not seen; Yelp 4.7 stars on 15 reviews</t>
        </is>
      </c>
      <c r="R18" s="2" t="inlineStr"/>
      <c r="S18" s="2" t="inlineStr"/>
      <c r="T18" s="2" t="inlineStr"/>
      <c r="U18" s="2" t="inlineStr">
        <is>
          <t>https://www.dnb.com/business-directory/company-profiles.cajun_bear_ac_repair_llc.fb82ca8dcfd2581343357a9631b53897.html</t>
        </is>
      </c>
      <c r="V18" s="2" t="inlineStr">
        <is>
          <t>https://www.yelp.com/biz/cajun-bear-ac-repair-fort-lauderdale
https://www.bbb.org/us/fl/fort-lauderdale/profile/air-conditioning-contractor/cajun-bear-ac-repair-0633-92054053
https://www.dnb.com/business-directory/company-profiles.cajun_bear_ac_repair_llc.fb82ca8dcfd2581343357a9631b53897.html
https://nextdoor.com/pages/cajun-bear-ac-repair-fort-lauderdale-fl/
https://bisprofiles.com/fl/cajun-bear-ac-repair-l21000010157
https://www.chamberofcommerce.com/business-directory/florida/fort-lauderdale/hvac-contractor/2017397933-cajun-bear-ac-repair
https://www.buildzoom.com/contractor/cajun-bear-ac-repair-llc</t>
        </is>
      </c>
    </row>
    <row r="19">
      <c r="A19" s="2" t="inlineStr">
        <is>
          <t>A</t>
        </is>
      </c>
      <c r="B19" s="2" t="inlineStr">
        <is>
          <t>Lucas Technical Air (Lucas Technical Air, Corp)</t>
        </is>
      </c>
      <c r="C19" s="2" t="inlineStr">
        <is>
          <t>Broward</t>
        </is>
      </c>
      <c r="D19" s="2" t="inlineStr">
        <is>
          <t>Deerfield Beach</t>
        </is>
      </c>
      <c r="E19" s="2" t="inlineStr">
        <is>
          <t>Lucas (first name only, as named in customer reviews; surname not in snippets)</t>
        </is>
      </c>
      <c r="F19" s="2" t="inlineStr">
        <is>
          <t>Owner-operator (reviews describe 'Lucas and his team' doing the diagnostics)</t>
        </is>
      </c>
      <c r="G19" s="2" t="inlineStr">
        <is>
          <t>(954) 213-5673</t>
        </is>
      </c>
      <c r="H19" s="2" t="inlineStr">
        <is>
          <t>lucastechnicalair.com</t>
        </is>
      </c>
      <c r="I19" s="2" t="inlineStr">
        <is>
          <t>Owner-operated Broward HVAC shop in the size range, with a concrete growth signal (adding an electrical division to the brand) plus multiple weak-systems signals (owner on the truck, fragmented/inconsistent listings, agency-style site, no visible license/booking). Decision maker identifiable by first name; downgrade to B if 'Lucas' cannot be confirmed as owner on the call.</t>
        </is>
      </c>
      <c r="J19" s="2" t="inlineStr">
        <is>
          <t>Operations Audit &amp; Strategic Roadmap</t>
        </is>
      </c>
      <c r="K19" s="2" t="inlineStr">
        <is>
          <t>Owner still working in the field per reviews; brand/entity inconsistency across listings (BBB 'Lucas Technical Air, Corp', Nextdoor 'Lucas Technical Air &amp; Electeic' [sic] tagged Pompano Beach/Margate while HQ is Deerfield Beach); website is a grid of city landing pages (Lauderhill to Juno Beach) each claiming '#1 rated' - agency-SEO pattern; review footprint fragmented (382 on experience.com vs 11 on Yelp); no CAC license number, booking widget, or software visible in snippets</t>
        </is>
      </c>
      <c r="L19" s="2" t="inlineStr">
        <is>
          <t>medium</t>
        </is>
      </c>
      <c r="M19" s="2" t="inlineStr">
        <is>
          <t>Independent; veteran-owned and family-owned/operated</t>
        </is>
      </c>
      <c r="N19" s="2" t="inlineStr">
        <is>
          <t>Est. 5-15 employees (24/7 operation, 382 reviews over 20 yrs, owner still in field) - not sourced</t>
        </is>
      </c>
      <c r="O19" s="2" t="inlineStr">
        <is>
          <t>~2005 ("for 20 years" per review profile)</t>
        </is>
      </c>
      <c r="P19" s="2" t="inlineStr">
        <is>
          <t>Residential + commercial AC repair (24/7 emergency), new system installation, ventilation, monthly maintenance plans; Nextdoor page now styled 'Lucas Technical Air &amp; Electric' (electrical being added)</t>
        </is>
      </c>
      <c r="Q19" s="2" t="inlineStr">
        <is>
          <t>Google count not sourced; experience.com shows 4.86 from 382 verified reviews; Yelp 11 reviews</t>
        </is>
      </c>
      <c r="R19" s="2" t="inlineStr"/>
      <c r="S19" s="2" t="inlineStr"/>
      <c r="T19" s="2" t="inlineStr"/>
      <c r="U19" s="2" t="inlineStr">
        <is>
          <t>https://www.yelp.com/biz/lucas-technical-air-conditioning-deerfield-beach</t>
        </is>
      </c>
      <c r="V19" s="2" t="inlineStr">
        <is>
          <t>https://www.yelp.com/biz/lucas-technical-air-conditioning-deerfield-beach
https://www.experience.com/reviews/lucas-23062479
https://www.bbb.org/us/fl/deerfield-beach/profile/air-conditioning-contractor/lucas-technical-air-corp-0633-90586362
https://nextdoor.com/pages/lucas-technical-air-margate-fl/
https://lucastechnicalair.com/lauderhill-florida-hvac-air-conditioning-service-repair/
https://lucastechnicalair.com/juno-beach-florida-hvac-air-conditioning-service-repair/
https://www.facebook.com/lucastechnicalair/
https://local.yahoo.com/info-231518046-lucas-technical-air-conditioning-deerfield-beach</t>
        </is>
      </c>
    </row>
    <row r="20">
      <c r="A20" s="2" t="inlineStr">
        <is>
          <t>A</t>
        </is>
      </c>
      <c r="B20" s="2" t="inlineStr">
        <is>
          <t>Mr. Air AC &amp; Electrical (Mr Air Air Conditioning &amp; Electrical)</t>
        </is>
      </c>
      <c r="C20" s="2" t="inlineStr">
        <is>
          <t>Broward</t>
        </is>
      </c>
      <c r="D20" s="2" t="inlineStr">
        <is>
          <t>Pompano Beach</t>
        </is>
      </c>
      <c r="E20" s="2" t="inlineStr">
        <is>
          <t>Zachary Fraley</t>
        </is>
      </c>
      <c r="F20" s="2" t="inlineStr">
        <is>
          <t>Owner (per Oct 2024 IssueWire release)</t>
        </is>
      </c>
      <c r="G20" s="2" t="inlineStr"/>
      <c r="H20" s="2" t="inlineStr">
        <is>
          <t>callmrair.com (also a separate 'about-us' page at callmrair.mediaroom.app)</t>
        </is>
      </c>
      <c r="I20" s="2" t="inlineStr">
        <is>
          <t>Named new owner (Zachary Fraley) taking over a ~20-employee Pompano Beach HVAC + electrical shop that is hiring techs, just launched 24/7 service and is BBB-new - a textbook transition/scaling moment, plus multiple weak-systems signals (license held by prior principal, split web presence, thin reviews). Phone not sourced, so confidence is medium rather than high.</t>
        </is>
      </c>
      <c r="J20" s="2" t="inlineStr">
        <is>
          <t>Operations Audit &amp; Strategic Roadmap</t>
        </is>
      </c>
      <c r="K20" s="2" t="inlineStr">
        <is>
          <t>Owner change (Mascetti to Fraley) while the CAC license still sits with the prior principal - qualifier/compliance exposure during the transition; two separate web properties (callmrair.com and a mediaroom.app 'about-us' page) plus press releases pushed through IssueWire - agency-built presence; low review volume for a 20-person shop (Angi 20, Yelp 17) with a 1-star install complaint from 2020; BBB accreditation only since May 2024; just took on 24/7 emergency coverage and an electrical division while hiring techs - dispatch, training and inventory load all rising at once</t>
        </is>
      </c>
      <c r="L20" s="2" t="inlineStr">
        <is>
          <t>medium</t>
        </is>
      </c>
      <c r="M20" s="2" t="inlineStr">
        <is>
          <t>Independent; ownership transition - Joseph (Joe) R. Mascetti is Managing Member and the DBPR CAC license holder, while an Oct 2024 press release names Zachary Fraley as owner</t>
        </is>
      </c>
      <c r="N20" s="2" t="inlineStr">
        <is>
          <t>~20 employees (search snippet); roughly 8-12 trucks</t>
        </is>
      </c>
      <c r="O20" s="2" t="inlineStr">
        <is>
          <t>Not in snippets (BBB accredited since 5/24/2024; Angi/HomeAdvisor reviews back to 2020)</t>
        </is>
      </c>
      <c r="P20" s="2" t="inlineStr">
        <is>
          <t>Residential AC repair, system replacement, maintenance, indoor air quality, plus an electrical division; 24/7 emergency service launched Oct 2024</t>
        </is>
      </c>
      <c r="Q20" s="2" t="inlineStr">
        <is>
          <t>Google count not sourced; Angi 4.7 from 20 reviews; Yelp 17 reviews</t>
        </is>
      </c>
      <c r="R20" s="2" t="inlineStr"/>
      <c r="S20" s="2" t="inlineStr"/>
      <c r="T20" s="2" t="inlineStr"/>
      <c r="U20" s="2" t="inlineStr">
        <is>
          <t>https://www.issuewire.com/mr-air-ac-electrical-introduces-247-emergency-services-for-pompano-beach-residents-1812605063723281</t>
        </is>
      </c>
      <c r="V20" s="2" t="inlineStr">
        <is>
          <t>https://www.bbb.org/us/fl/pompano-beach/profile/air-conditioning-contractor/mr-air-ac-electrical-0633-92036161
https://www.issuewire.com/mr-air-ac-electrical-introduces-247-emergency-services-for-pompano-beach-residents-1812605063723281
https://www.linkedin.com/in/joe-mascetti-11310b13/
https://www.myfloridalicense.com/LicenseDetail.asp?SID=&amp;id=7609275CDB543FA661741024C9B0609A
https://callmrair.mediaroom.app/about-us
https://www.callmrair.com/
https://www.angi.com/companylist/us/fl/pompano-beach/mrair-air-conditioning-electrical-reviews-1.htm
https://www.yelp.co.uk/biz/mr-air-pompano-beach-2
https://www.zoominfo.com/c/mr-air-ac--electrical/1313614220
https://www.indeed.com/q-HVAC-l-Pompano-Beach,-FL-jobs.html
https://www.facebook.com/p/Mr-Air-AC-Electrical-100077631255762/</t>
        </is>
      </c>
    </row>
    <row r="21">
      <c r="A21" s="2" t="inlineStr">
        <is>
          <t>B</t>
        </is>
      </c>
      <c r="B21" s="2" t="inlineStr">
        <is>
          <t>All County Air Conditioning, Refrigeration &amp; Heating Co.</t>
        </is>
      </c>
      <c r="C21" s="2" t="inlineStr">
        <is>
          <t>Broward</t>
        </is>
      </c>
      <c r="D21" s="2" t="inlineStr">
        <is>
          <t>Plantation</t>
        </is>
      </c>
      <c r="E21" s="2" t="inlineStr">
        <is>
          <t>Joseph (Joe) Sposa</t>
        </is>
      </c>
      <c r="F21" s="2" t="inlineStr">
        <is>
          <t>President / Owner</t>
        </is>
      </c>
      <c r="G21" s="2" t="inlineStr">
        <is>
          <t>(954) 297-9754</t>
        </is>
      </c>
      <c r="H21" s="2" t="inlineStr">
        <is>
          <t>airconditioningbroward.com</t>
        </is>
      </c>
      <c r="I21" s="2" t="inlineStr">
        <is>
          <t>Fits geography and is owner-operated with a named decision maker (Joe Sposa) and clear weak-systems signals (owner answering phones, no booking, review feed out of sync). Held at B because headcount of about 5 sits at the floor of the 5-50 range with no growth signal, so a full Operations Audit may be oversized; a booking/dispatch and follow-up setup is the right-sized fix.</t>
        </is>
      </c>
      <c r="J21" s="2" t="inlineStr">
        <is>
          <t>Systems + AI Enablement</t>
        </is>
      </c>
      <c r="K21" s="2" t="inlineStr">
        <is>
          <t>Owner Joe personally picks up the phone at 8 pm per reviews (no CSR/dispatcher); main number is a cell-style number; ~5 employees; no online booking; not BBB accredited; website review feed shows 41 reviews while Yelp shows 94 (4.8) and BipperMedia 78 - review feed not synced; '40+ years' claim vs 2010 business start on BBB; Google rating not surfaced in snippets</t>
        </is>
      </c>
      <c r="L21" s="2" t="inlineStr">
        <is>
          <t>high</t>
        </is>
      </c>
      <c r="M21" s="2" t="inlineStr">
        <is>
          <t>Independent, family-owned and operated</t>
        </is>
      </c>
      <c r="N21" s="2" t="inlineStr">
        <is>
          <t>About 5 employees (ZoomInfo/RocketReach); likely 2-3 trucks, revenue probably under $1M</t>
        </is>
      </c>
      <c r="O21" s="2" t="inlineStr">
        <is>
          <t>2010 (BBB business start 9/10/2010; LinkedIn says owner since Jan 2005; '40+ years' refers to Joe's personal experience)</t>
        </is>
      </c>
      <c r="P21" s="2" t="inlineStr">
        <is>
          <t>Residential + commercial AC repair, central AC, maintenance plans/tune-ups, commercial refrigeration, heating; 24/7/365; all brands</t>
        </is>
      </c>
      <c r="Q21" s="2" t="inlineStr"/>
      <c r="R21" s="2" t="inlineStr">
        <is>
          <t>None detected; site has its own reviews page showing 4.8 (41 reviews)</t>
        </is>
      </c>
      <c r="S21" s="2" t="inlineStr">
        <is>
          <t>Phone: confirmed | Owner: confirmed | Independent: confirmed - family owned and operated, ~5 employees (ZoomInfo/RocketReach), no acquisition, partnership, PE or franchise hits. Note: BBB lists an unrelated 'All County Air Conditioning &amp; Refrigeration, Inc.' in Kissimmee and Yelp an unrelated Atlanta company with a similar name - do not conflate</t>
        </is>
      </c>
      <c r="T21" s="2" t="inlineStr">
        <is>
          <t>BBB: NOT accredited; BBB says business started 9/10/2010 (file opened 8/13/2012) even though marketing says '40+ years experience' - the 40 years is Joe's personal experience, the company is ~16 years old. Open 24/7. Ratings: Yelp 4.8 (94 reviews), BuildZoom 5/5 (16), own site 4.8 (41); Nextdoor 'Neighborhood Favorite' 2024 in Plantation. No hiring signals found. Website airconditioningbroward.com is a keyword/SEO domain; Apollo also indexes the firm as 'All County Air Conditioning Repair'. Verification basis: cached BBB, Yelp, LinkedIn, Nextdoor, BuildZoom, ZoomInfo and RocketReach snippets; no live lookups possible.</t>
        </is>
      </c>
      <c r="U21" s="2" t="inlineStr">
        <is>
          <t>https://www.bbb.org/us/fl/plantation/profile/air-conditioning-contractor/all-county-air-conditioning-refrigeration-and-heating-company-0633-90057370</t>
        </is>
      </c>
      <c r="V21" s="2" t="inlineStr">
        <is>
          <t>https://www.bbb.org/us/fl/plantation/profile/air-conditioning-contractor/all-county-air-conditioning-refrigeration-and-heating-company-0633-90057370
https://www.yelp.com/biz/all-county-air-conditioning-repair-plantation-3
https://www.linkedin.com/in/joe-sposa-93b20665/
https://www.facebook.com/allcountyairconditioning/
https://airconditioningbroward.com/
https://airconditioningbroward.com/locations/plantation-florida/
https://airconditioningbroward.com/air-conditioning-repair-reviews/
https://airconditioningbroward.com/air-conditioner-maintenance/
https://www.zoominfo.com/pic/all-county-air-conditioning-repair/373228470
https://bippermedia.com/us/sr/all-county-air-conditioning-repair-fort-lauderdale/
https://nextdoor.com/pages/all-county-air-conditioning-repair/?init_source=search</t>
        </is>
      </c>
    </row>
    <row r="22">
      <c r="A22" s="2" t="inlineStr">
        <is>
          <t>B</t>
        </is>
      </c>
      <c r="B22" s="2" t="inlineStr">
        <is>
          <t>All Temperature Service, Inc.</t>
        </is>
      </c>
      <c r="C22" s="2" t="inlineStr">
        <is>
          <t>Broward</t>
        </is>
      </c>
      <c r="D22" s="2" t="inlineStr">
        <is>
          <t>Southwest Ranches</t>
        </is>
      </c>
      <c r="E22" s="2" t="inlineStr">
        <is>
          <t>Todd E. Williams</t>
        </is>
      </c>
      <c r="F22" s="2" t="inlineStr">
        <is>
          <t>President</t>
        </is>
      </c>
      <c r="G22" s="2" t="inlineStr">
        <is>
          <t>(954) 434-7074</t>
        </is>
      </c>
      <c r="H22" s="2" t="inlineStr">
        <is>
          <t>alltemperatureserviceinc.com (dated static-HTML site with /page/*.html structure; indexed in search, but reported DNS failure on fetch - hosting may be unreliable)</t>
        </is>
      </c>
      <c r="I22" s="2" t="inlineStr">
        <is>
          <t>Family-owned Broward HVAC shop with a named owner (Todd Williams) and office manager (Kelli) and several weak-systems signals (5 Google reviews, unanswered 2-star Yelp, unresolved BBB complaint, dated/unreliable website, no booking). Held at B rather than A because ZoomInfo puts headcount at 1-10, which sits at or below the bottom of the 5-50 target range, and there is no growth or transition signal.</t>
        </is>
      </c>
      <c r="J22" s="2" t="inlineStr">
        <is>
          <t>Marketing &amp; Website Makeover</t>
        </is>
      </c>
      <c r="K22" s="2" t="inlineStr">
        <is>
          <t>Only 5 Google reviews after 31 years in business; Yelp 2.0 (4 reviews) including a 'run like a boiler room' review with no owner reply; BBB A- rating, not accredited, 1 complaint unresolved; dated static-HTML website with a 'testimonials' page instead of live reviews; no online booking; no maintenance-plan page (only 'flexible options' wording); website failed to resolve on fetch attempt; Mon-Thu 8:30-5 hours, no 24/7 line</t>
        </is>
      </c>
      <c r="L22" s="2" t="inlineStr">
        <is>
          <t>high</t>
        </is>
      </c>
      <c r="M22" s="2" t="inlineStr">
        <is>
          <t>Independent, family-owned (Williams family: father, son, and office manager Kelli)</t>
        </is>
      </c>
      <c r="N22" s="2" t="inlineStr">
        <is>
          <t>1-10 employees, revenue under $5M (ZoomInfo); likely 2-4 trucks</t>
        </is>
      </c>
      <c r="O22" s="2" t="inlineStr">
        <is>
          <t>1995 (BBB business start 3/15/1995; site says 'more than 25 years')</t>
        </is>
      </c>
      <c r="P22" s="2" t="inlineStr">
        <is>
          <t>Residential + commercial AC repairs, maintenance, installation; all makes and models</t>
        </is>
      </c>
      <c r="Q22" s="2" t="inlineStr">
        <is>
          <t>5.0 / 5</t>
        </is>
      </c>
      <c r="R22" s="2" t="inlineStr">
        <is>
          <t>None detected</t>
        </is>
      </c>
      <c r="S22" s="2" t="inlineStr">
        <is>
          <t>Phone: confirmed | Owner: confirmed | Independent: confirmed - family owned/operated, 1-10 employees, &lt;$5M revenue (ZoomInfo/D&amp;B), FL license CAC056912, business started 3/15/1995 (BBB); no acquisition, partnership, PE or franchise hits in any cached result</t>
        </is>
      </c>
      <c r="T22" s="2" t="inlineStr">
        <is>
          <t>BBB: NOT accredited, A- rating, 1 complaint filed and not resolved. One online review calls it 'not a real AC contractor... ran like a boiler room operation' - expect some reputation sensitivity. Website is a dated static site (/page/*.html) and the domain failed DNS on fetch; Birdeye shows only 7 reviews; Nextdoor files the business under Fort Lauderdale. Hours: Mon-Thu 8:30-5, Fri 8-4, Sat 8:30-3:30 (closed Sun). Verification basis: cross-checked against cached BBB, ZoomInfo, D&amp;B, Yelp, Superpages and Southwest Ranches town-directory snippets gathered earlier this session; live search budget was exhausted and outside fetches are blocked, so no fresh lookups were possible.</t>
        </is>
      </c>
      <c r="U22" s="2" t="inlineStr">
        <is>
          <t>https://www.bbb.org/us/fl/southwest-ranches/profile/air-conditioning-contractor/all-temperature-service-inc-0633-90063459</t>
        </is>
      </c>
      <c r="V22" s="2" t="inlineStr">
        <is>
          <t>https://www.bbb.org/us/fl/southwest-ranches/profile/air-conditioning-contractor/all-temperature-service-inc-0633-90063459
https://www.yelp.com/biz/all-temperature-service-southwest-ranches-2
https://nextdoor.com/pages/all-temperature-service-inc-fort-lauderdale-fl/
https://www.yellowpages.com/southwest-ranches-fl/mip/all-temperature-service-inc-7397485
https://reviews.birdeye.com/all-temperature-serivce-inc-166781089918525
https://www.zoominfo.com/c/all-temperature-service-inc/369301772
https://www.alltemperatureserviceinc.com/
http://www.alltemperatureserviceinc.com/page/contact.html
https://www.southwestranches.org/southwest-ranches-resident-business-directory/</t>
        </is>
      </c>
    </row>
    <row r="23">
      <c r="A23" s="2" t="inlineStr">
        <is>
          <t>B</t>
        </is>
      </c>
      <c r="B23" s="2" t="inlineStr">
        <is>
          <t>Shoreline Air Systems Inc</t>
        </is>
      </c>
      <c r="C23" s="2" t="inlineStr">
        <is>
          <t>Broward</t>
        </is>
      </c>
      <c r="D23" s="2" t="inlineStr">
        <is>
          <t>Tamarac</t>
        </is>
      </c>
      <c r="E23" s="2" t="inlineStr">
        <is>
          <t>Donald A. Rist</t>
        </is>
      </c>
      <c r="F23" s="2" t="inlineStr">
        <is>
          <t>Owner / certified air conditioning contractor (license qualifier, CAC1815384)</t>
        </is>
      </c>
      <c r="G23" s="2" t="inlineStr">
        <is>
          <t>(954) 485-3117</t>
        </is>
      </c>
      <c r="H23" s="2" t="inlineStr">
        <is>
          <t>shorelineair.com (per Apollo index; never surfaced in search results; not fetched)</t>
        </is>
      </c>
      <c r="I23" s="2" t="inlineStr">
        <is>
          <t>Broward HQ, independent family-owned, named owner with license, and real observable signals (invisible website, no reviews, stale copy). Held at B rather than A because the review gap is a softer signal for a commercial cooling-tower specialist and headcount is unverified.</t>
        </is>
      </c>
      <c r="J23" s="2" t="inlineStr">
        <is>
          <t>Operations Audit &amp; Strategic Roadmap</t>
        </is>
      </c>
      <c r="K23" s="2" t="inlineStr">
        <is>
          <t>1) Company website does not appear in any search result; only BBB, Yelp, Superpages and Yellow Pages do, and Apollo first indexed shorelineair.com in Sept 2026, i.e. a near-invisible or dated site. 2) Yelp listing with zero reviews; no Google review count surfaced. 3) 40-year family business with a single named principal and a second family name on a directory, a classic succession-planning stage. 4) BBB copy still says 'serving for 30 years' against a 1984 start, i.e. marketing copy not updated in a decade.</t>
        </is>
      </c>
      <c r="L23" s="2" t="inlineStr">
        <is>
          <t>high</t>
        </is>
      </c>
      <c r="M23" s="2" t="inlineStr">
        <is>
          <t>Independent, family-owned and operated since 1984</t>
        </is>
      </c>
      <c r="N23" s="2" t="inlineStr">
        <is>
          <t>Unknown; likely 5-20 (40-year commercial mechanical shop serving Broward, Dade and Palm Beach; no employee count surfaced)</t>
        </is>
      </c>
      <c r="O23" s="2" t="inlineStr">
        <is>
          <t>1984</t>
        </is>
      </c>
      <c r="P23" s="2" t="inlineStr">
        <is>
          <t>Residential and commercial HVAC installation, repair and replacement; specializes in cooling towers, heat exchangers, pumps and heat pumps; maintenance agreements; emergency service; hours Mon-Sun 8am-8pm</t>
        </is>
      </c>
      <c r="Q23" s="2" t="inlineStr">
        <is>
          <t>Google not seen; Yelp listing shows no reviews</t>
        </is>
      </c>
      <c r="R23" s="2" t="inlineStr"/>
      <c r="S23" s="2" t="inlineStr"/>
      <c r="T23" s="2" t="inlineStr"/>
      <c r="U23" s="2" t="inlineStr">
        <is>
          <t>https://www.myfloridalicense.com/LicenseDetail.asp?SID=&amp;id=38C18CC065A604900481D2063464CA2A</t>
        </is>
      </c>
      <c r="V23" s="2" t="inlineStr">
        <is>
          <t>https://www.bbb.org/us/fl/tamarac/profile/air-conditioning-contractor/shoreline-air-systems-inc-0633-92008609
https://www.myfloridalicense.com/LicenseDetail.asp?SID=&amp;id=38C18CC065A604900481D2063464CA2A
https://www.linkedin.com/in/donald-rist-08836b20/
https://www.yelp.com/biz/shoreline-air-systems-tamarac
https://www.superpages.com/tamarac-fl/bpp/shoreline-air-systems-inc-464436926
https://www.yellowpages.com/tamarac-fl/mip/shoreline-air-systems-inc-464436926
https://www.licensed.contractors/florida/tamarac/shoreline-air-systems-inc-354917.html
Apollo.io organizations lookup (free) for Shoreline Air Systems Inc., domain shorelineair.com</t>
        </is>
      </c>
    </row>
    <row r="24">
      <c r="A24" s="2" t="inlineStr">
        <is>
          <t>B</t>
        </is>
      </c>
      <c r="B24" s="2" t="inlineStr">
        <is>
          <t>123 Air Repair Inc</t>
        </is>
      </c>
      <c r="C24" s="2" t="inlineStr">
        <is>
          <t>Broward</t>
        </is>
      </c>
      <c r="D24" s="2" t="inlineStr">
        <is>
          <t>Lauderhill</t>
        </is>
      </c>
      <c r="E24" s="2" t="inlineStr">
        <is>
          <t>Shalom Tweg</t>
        </is>
      </c>
      <c r="F24" s="2" t="inlineStr">
        <is>
          <t>President (per BBB profile)</t>
        </is>
      </c>
      <c r="G24" s="2" t="inlineStr">
        <is>
          <t>754-234-7951</t>
        </is>
      </c>
      <c r="H24" s="2" t="inlineStr">
        <is>
          <t>None found (only Thumbtack, Alignable, hub.biz and Yahoo Local directory listings surfaced)</t>
        </is>
      </c>
      <c r="I24" s="2" t="inlineStr">
        <is>
          <t>Family-owned Broward HVAC shop with a named president and multiple weak-systems signals (no website, Thumbtack-reliant, no reviews shown, listing inconsistency), but size is likely at or below the 5-employee floor and no growth/transition signal was observed, so B rather than A</t>
        </is>
      </c>
      <c r="J24" s="2" t="inlineStr">
        <is>
          <t>Marketing &amp; Website Makeover</t>
        </is>
      </c>
      <c r="K24" s="2" t="inlineStr">
        <is>
          <t>No company website at all; Thumbtack-dependent lead flow; BBB profile filed under Fort Lauderdale while the shop is in Lauderhill (listing inconsistency); no review count visible on any listing; has a $159 maintenance plan but no page to sell or renew it; only one phone (754) shown, no email</t>
        </is>
      </c>
      <c r="L24" s="2" t="inlineStr">
        <is>
          <t>medium</t>
        </is>
      </c>
      <c r="M24" s="2" t="inlineStr">
        <is>
          <t>Independent, family-owned and operated</t>
        </is>
      </c>
      <c r="N24" s="2" t="inlineStr">
        <is>
          <t>Micro shop, est. 1-5 employees (owner-operated; '15+ years in HVAC, 30+ years combined experience'; no headcount shown anywhere)</t>
        </is>
      </c>
      <c r="O24" s="2" t="inlineStr">
        <is>
          <t>2014 (BBB business start date)</t>
        </is>
      </c>
      <c r="P24" s="2" t="inlineStr">
        <is>
          <t>Residential AC cooling and heating repair, sales, installation and maintenance; $159 twice-a-year maintenance offer; EPA-certified technicians</t>
        </is>
      </c>
      <c r="Q24" s="2" t="inlineStr"/>
      <c r="R24" s="2" t="inlineStr"/>
      <c r="S24" s="2" t="inlineStr"/>
      <c r="T24" s="2" t="inlineStr"/>
      <c r="U24" s="2" t="inlineStr">
        <is>
          <t>https://www.bbb.org/us/fl/fort-lauderdale/profile/air-conditioning-contractor/123-air-repair-inc-0633-92052981</t>
        </is>
      </c>
      <c r="V24" s="2" t="inlineStr">
        <is>
          <t>https://www.bbb.org/us/fl/fort-lauderdale/profile/air-conditioning-contractor/123-air-repair-inc-0633-92052981
https://www.citytocitymarket.com/123-air-repair-lauderhill
https://123-air-repair.hub.biz/
https://www.thumbtack.com/fl/fort-lauderdale/central-air-conditioning-repair/air-repair/service/255068349094601941
https://www.alignable.com/fort-lauderdale-fl/123-air-repair-2
https://local.yahoo.com/info-185639385-123-air-repair-lauderhill/</t>
        </is>
      </c>
    </row>
    <row r="25">
      <c r="A25" s="2" t="inlineStr">
        <is>
          <t>B</t>
        </is>
      </c>
      <c r="B25" s="2" t="inlineStr">
        <is>
          <t>24/7 A/C Inc</t>
        </is>
      </c>
      <c r="C25" s="2" t="inlineStr">
        <is>
          <t>Broward</t>
        </is>
      </c>
      <c r="D25" s="2" t="inlineStr">
        <is>
          <t>Plantation</t>
        </is>
      </c>
      <c r="E25" s="2" t="inlineStr"/>
      <c r="F25" s="2" t="inlineStr">
        <is>
          <t>Owner / license holder (name not published in any snippet)</t>
        </is>
      </c>
      <c r="G25" s="2" t="inlineStr">
        <is>
          <t>954-771-1001</t>
        </is>
      </c>
      <c r="H25" s="2" t="inlineStr">
        <is>
          <t>https://www.247acinc.com/</t>
        </is>
      </c>
      <c r="I25" s="2" t="inlineStr">
        <is>
          <t>Fits geography (Plantation) and profile (family-run since 2006, owner in the field). Observable weak-systems signals: no visible reviews on Yelp, no booking seen. Not A because the owner's name is not published anywhere in the snippets and size is unconfirmed. Site-level checks (booking widget, CAC on site, maintenance page) could not be run: site fetch is blocked and the search budget was exhausted; facts are from snippets captured earlier this session.</t>
        </is>
      </c>
      <c r="J25" s="2" t="inlineStr">
        <is>
          <t>Marketing &amp; Website Makeover</t>
        </is>
      </c>
      <c r="K25" s="2" t="inlineStr">
        <is>
          <t>Yelp listing (updated April 2026) shows no review count and no street address, i.e. no visible reviews; no online booking or CAC number appeared in any snippet; owner works every install (owner is the bottleneck); no maintenance-plan page seen</t>
        </is>
      </c>
      <c r="L25" s="2" t="inlineStr">
        <is>
          <t>medium</t>
        </is>
      </c>
      <c r="M25" s="2" t="inlineStr">
        <is>
          <t>Independent, family owned and operated; owner is also the license holder</t>
        </is>
      </c>
      <c r="N25" s="2" t="inlineStr">
        <is>
          <t>Small owner-operated shop; owner is on site for every install; headcount not published (likely under 10 people)</t>
        </is>
      </c>
      <c r="O25" s="2" t="inlineStr">
        <is>
          <t>2006</t>
        </is>
      </c>
      <c r="P25" s="2" t="inlineStr">
        <is>
          <t>Residential AC repair, system replacement, preventive maintenance (heating listed too)</t>
        </is>
      </c>
      <c r="Q25" s="2" t="inlineStr"/>
      <c r="R25" s="2" t="inlineStr"/>
      <c r="S25" s="2" t="inlineStr"/>
      <c r="T25" s="2" t="inlineStr"/>
      <c r="U25" s="2" t="inlineStr">
        <is>
          <t>https://www.247acinc.com/</t>
        </is>
      </c>
      <c r="V25" s="2" t="inlineStr">
        <is>
          <t>https://www.yelp.com/biz/24-7-ac-plantation-2
https://www.247acinc.com/
https://www.zoominfo.com/c/247-air-conditioning-service-corp/539358756</t>
        </is>
      </c>
    </row>
    <row r="26">
      <c r="A26" s="2" t="inlineStr">
        <is>
          <t>B</t>
        </is>
      </c>
      <c r="B26" s="2" t="inlineStr">
        <is>
          <t>Abraham AC &amp; Heating Service, Inc.</t>
        </is>
      </c>
      <c r="C26" s="2" t="inlineStr">
        <is>
          <t>Broward</t>
        </is>
      </c>
      <c r="D26" s="2" t="inlineStr">
        <is>
          <t>Oakland Park</t>
        </is>
      </c>
      <c r="E26" s="2" t="inlineStr"/>
      <c r="F26" s="2" t="inlineStr"/>
      <c r="G26" s="2" t="inlineStr">
        <is>
          <t>954-433-6504</t>
        </is>
      </c>
      <c r="H26" s="2" t="inlineStr">
        <is>
          <t>https://abrahamac.com/</t>
        </is>
      </c>
      <c r="I26" s="2" t="inlineStr">
        <is>
          <t>Fits size and Broward geography with two concrete growth signals (hiring techs now, added plumbing division) and multiple weak-systems signals (duplicate SEO pages, stale copy, thin review count, possible tracking number), but the owner/decision maker is not named in any source, which keeps it at B rather than A.</t>
        </is>
      </c>
      <c r="J26" s="2" t="inlineStr">
        <is>
          <t>Operations Audit &amp; Strategic Roadmap</t>
        </is>
      </c>
      <c r="K26" s="2" t="inlineStr">
        <is>
          <t>Actively hiring commission-paid service techs (growth/turnover signal); added plumbing and water heaters to the AC business (new division); heavy programmatic city pages with duplicate URL patterns for the same city (/pembroke-pines/, /service-areas/pembroke-pines/, /ac-repair-pembroke-pines-fl-abraham-ac-hvac-services/) typical of SEO-agency churn; stale copy ('15+ years in the industry' on a company founded in 2003); only 24 HomeAdvisor reviews (5.0) for a 20-year, '5,000+ homeowners' company; the 954-433 number appears on the Pembroke Pines page while HQ is Oakland Park (possible tracking number, verify); no owner or team shown in snippets</t>
        </is>
      </c>
      <c r="L26" s="2" t="inlineStr">
        <is>
          <t>medium</t>
        </is>
      </c>
      <c r="M26" s="2" t="inlineStr">
        <is>
          <t>Independent Florida corporation (Inc.), Oakland Park-based; no PE/franchise indicators; owner not named in snippets</t>
        </is>
      </c>
      <c r="N26" s="2" t="inlineStr">
        <is>
          <t>Mid-size; est. 10-25 employees (inferred from multi-trade AC + plumbing, 24/7 coverage, commission-based tech hiring and 20+ city pages; no employee count found)</t>
        </is>
      </c>
      <c r="O26" s="2" t="inlineStr">
        <is>
          <t>2003</t>
        </is>
      </c>
      <c r="P26" s="2" t="inlineStr">
        <is>
          <t>Residential HVAC plus plumbing: AC repair, installation, maintenance, heating, indoor air quality, plumbing, water heaters; same-day service, flat-rate upfront pricing, financing, 24/7 support, 100% satisfaction guarantee; services all major brands</t>
        </is>
      </c>
      <c r="Q26" s="2" t="inlineStr"/>
      <c r="R26" s="2" t="inlineStr">
        <is>
          <t>None detected in snippets</t>
        </is>
      </c>
      <c r="S26" s="2" t="inlineStr"/>
      <c r="T26" s="2" t="inlineStr"/>
      <c r="U26" s="2" t="inlineStr"/>
      <c r="V26" s="2" t="inlineStr">
        <is>
          <t>https://abrahamac.com/
https://abrahamac.com/service-areas/lauderhill/
https://www.abrahamac.com/service-areas/pembroke-pines/
https://abrahamac.com/service-areas/oakland-park/
https://abrahamac.com/service-areas/
https://abrahamac.com/service-areas/miramar/ac-maintenance/
https://www.indeed.com/q-HVAC-Technician-l-Fort-Lauderdale,-FL-jobs.html
https://www.homeadvisor.com/c.Air-Conditioning.Fort_Lauderdale.FL.-12002.html</t>
        </is>
      </c>
    </row>
    <row r="27">
      <c r="A27" s="2" t="inlineStr">
        <is>
          <t>B</t>
        </is>
      </c>
      <c r="B27" s="2" t="inlineStr">
        <is>
          <t>Absolute A/C &amp; Duct Repairs</t>
        </is>
      </c>
      <c r="C27" s="2" t="inlineStr">
        <is>
          <t>Broward</t>
        </is>
      </c>
      <c r="D27" s="2" t="inlineStr">
        <is>
          <t>Pembroke Pines</t>
        </is>
      </c>
      <c r="E27" s="2" t="inlineStr">
        <is>
          <t>Aileen (last name not published)</t>
        </is>
      </c>
      <c r="F27" s="2" t="inlineStr">
        <is>
          <t>Owner</t>
        </is>
      </c>
      <c r="G27" s="2" t="inlineStr">
        <is>
          <t>(954) 438-9907</t>
        </is>
      </c>
      <c r="H27" s="2" t="inlineStr"/>
      <c r="I27" s="2" t="inlineStr">
        <is>
          <t>Fits geography, independent and owner-named (first name), with three observable weak-systems signals (phone inconsistency, review gap, no website). Held at B because size is unverified and may be under 5 people.</t>
        </is>
      </c>
      <c r="J27" s="2" t="inlineStr">
        <is>
          <t>Marketing &amp; Website Makeover</t>
        </is>
      </c>
      <c r="K27" s="2" t="inlineStr">
        <is>
          <t>1) Two different phone numbers across listings: (954) 438-9907 on Nextdoor vs (305) 733-7699 on Yelp (a Miami-Dade area code for a Pembroke Pines shop). 2) Only 12 Yelp reviews after 30+ years in business; no Google review count surfaced. 3) No company website surfaced in any search. 4) No CAC license number visible in listing snippets. 5) Business name spelled two ways across listings (Absolute A/C &amp; Duct Repairs vs Absolute AC &amp; Duct Repair).</t>
        </is>
      </c>
      <c r="L27" s="2" t="inlineStr">
        <is>
          <t>medium</t>
        </is>
      </c>
      <c r="M27" s="2" t="inlineStr">
        <is>
          <t>Independent; woman-owned and operated since 1992</t>
        </is>
      </c>
      <c r="N27" s="2" t="inlineStr">
        <is>
          <t>Unknown; likely 1-5 (owner-run listings, 12 Yelp reviews in 30+ years, no employee count surfaced)</t>
        </is>
      </c>
      <c r="O27" s="2" t="inlineStr">
        <is>
          <t>1992</t>
        </is>
      </c>
      <c r="P27" s="2" t="inlineStr">
        <is>
          <t>A/C service, repair and replacement; duct repair and replacement; attic insulation installation</t>
        </is>
      </c>
      <c r="Q27" s="2" t="inlineStr"/>
      <c r="R27" s="2" t="inlineStr"/>
      <c r="S27" s="2" t="inlineStr"/>
      <c r="T27" s="2" t="inlineStr"/>
      <c r="U27" s="2" t="inlineStr">
        <is>
          <t>https://nextdoor.com/pages/absolute-ac-duct-repair-pembroke-pines-fl-1/</t>
        </is>
      </c>
      <c r="V27" s="2" t="inlineStr">
        <is>
          <t>https://www.yelp.com/biz/absolute-a-c-and-duct-repairs-pembroke-pines-2
https://nextdoor.com/pages/absolute-ac-duct-repair-pembroke-pines-fl-1/
https://nextdoor.com/topics/air-conditioning/pembroke-pines/fl/</t>
        </is>
      </c>
    </row>
    <row r="28">
      <c r="A28" s="2" t="inlineStr">
        <is>
          <t>B</t>
        </is>
      </c>
      <c r="B28" s="2" t="inlineStr">
        <is>
          <t>AIRCO Cooling &amp; Heating Inc</t>
        </is>
      </c>
      <c r="C28" s="2" t="inlineStr">
        <is>
          <t>Broward</t>
        </is>
      </c>
      <c r="D28" s="2" t="inlineStr">
        <is>
          <t>Hollywood</t>
        </is>
      </c>
      <c r="E28" s="2" t="inlineStr"/>
      <c r="F28" s="2" t="inlineStr"/>
      <c r="G28" s="2" t="inlineStr">
        <is>
          <t>(954) 925-1213</t>
        </is>
      </c>
      <c r="H28" s="2" t="inlineStr">
        <is>
          <t>None found</t>
        </is>
      </c>
      <c r="I28" s="2" t="inlineStr">
        <is>
          <t>Broward family-run HVAC shop with at least four observable weak-systems signals (no website, near-zero reviews, not BBB accredited, inconsistent listings), but the owner is unnamed in every snippet and size is unconfirmed, so B</t>
        </is>
      </c>
      <c r="J28" s="2" t="inlineStr">
        <is>
          <t>Marketing &amp; Website Makeover</t>
        </is>
      </c>
      <c r="K28" s="2" t="inlineStr">
        <is>
          <t>No website after 56 years in business; only 3 online reviews total (Yelp 3.0 stars from 2 reviews, Angi 5.0 from 1 review); not BBB accredited; listings split between Hollywood (Yelp) and Fort Lauderdale (BBB, Angi) = inconsistent citations; multi-trade services (water heaters, pool) with nothing online to sell them; 24/7 claim with no booking channel</t>
        </is>
      </c>
      <c r="L28" s="2" t="inlineStr">
        <is>
          <t>medium</t>
        </is>
      </c>
      <c r="M28" s="2" t="inlineStr">
        <is>
          <t>Independent, family-operated since the current owners bought it in 1990</t>
        </is>
      </c>
      <c r="N28" s="2" t="inlineStr">
        <is>
          <t>Small shop, est. 3-10 employees (56-year-old res + commercial operation adding water heaters and pool work; no headcount shown)</t>
        </is>
      </c>
      <c r="O28" s="2" t="inlineStr">
        <is>
          <t>1970 (current owners purchased the business in 1990)</t>
        </is>
      </c>
      <c r="P28" s="2" t="inlineStr">
        <is>
          <t>Residential and commercial AC repair, maintenance and installation; heating; water heaters; pool repair; 24/7 service</t>
        </is>
      </c>
      <c r="Q28" s="2" t="inlineStr"/>
      <c r="R28" s="2" t="inlineStr"/>
      <c r="S28" s="2" t="inlineStr"/>
      <c r="T28" s="2" t="inlineStr"/>
      <c r="U28" s="2" t="inlineStr"/>
      <c r="V28" s="2" t="inlineStr">
        <is>
          <t>https://www.yelp.com/biz/airco-cooling-and-heating-hollywood
https://www.angi.com/companylist/us/fl/ft-lauderdale/airco-cooling-and-heating-inc-reviews-6325637.htm
https://www.bbb.org/us/fl/fort-lauderdale/profile/air-conditioning-contractor/airco-cooling-heating-inc-0633-30002213
https://www.buildzoom.com/contractor/airco-cooling-heating-inc</t>
        </is>
      </c>
    </row>
    <row r="29">
      <c r="A29" s="2" t="inlineStr">
        <is>
          <t>B</t>
        </is>
      </c>
      <c r="B29" s="2" t="inlineStr">
        <is>
          <t>Carib Air Conditioning Services Inc</t>
        </is>
      </c>
      <c r="C29" s="2" t="inlineStr">
        <is>
          <t>Broward</t>
        </is>
      </c>
      <c r="D29" s="2" t="inlineStr">
        <is>
          <t>Hallandale Beach</t>
        </is>
      </c>
      <c r="E29" s="2" t="inlineStr">
        <is>
          <t>Andrew Septimus James</t>
        </is>
      </c>
      <c r="F29" s="2" t="inlineStr">
        <is>
          <t>Owner / qualifying CAC license holder (DBPR: JAMES, ANDREW SEPTIMUS d/b/a Carib Air Conditioning Services Inc)</t>
        </is>
      </c>
      <c r="G29" s="2" t="inlineStr">
        <is>
          <t>(786) 393-0479</t>
        </is>
      </c>
      <c r="H29" s="2" t="inlineStr">
        <is>
          <t>caribacservices.com</t>
        </is>
      </c>
      <c r="I29" s="2" t="inlineStr">
        <is>
          <t>Broward owner-operator with a named decision maker and three-plus weak-systems signals (AOL email, split listings and phones, no reviews); held at B rather than A because 20 years in with 9-5 hours suggests the shop may be under the 5-employee floor</t>
        </is>
      </c>
      <c r="J29" s="2" t="inlineStr">
        <is>
          <t>Marketing &amp; Website Makeover</t>
        </is>
      </c>
      <c r="K29" s="2" t="inlineStr">
        <is>
          <t>Business email is an aol.com address; two separate Yelp listings with two addresses (839 vs 840 Foster Rd) and two phone numbers (786 vs 954); no reviews surfaced on either Yelp page; office hours Mon-Fri 9-5 only; BBB profile exists but no accreditation or rating shown in snippets; no booking or maintenance-plan page seen</t>
        </is>
      </c>
      <c r="L29" s="2" t="inlineStr">
        <is>
          <t>medium</t>
        </is>
      </c>
      <c r="M29" s="2" t="inlineStr">
        <is>
          <t>Independent owner-operator</t>
        </is>
      </c>
      <c r="N29" s="2" t="inlineStr">
        <is>
          <t>Likely 1-5 people (9-5 weekday hours, AOL email; no employee count surfaced)</t>
        </is>
      </c>
      <c r="O29" s="2" t="inlineStr">
        <is>
          <t>20+ years in business per directory snippet (exact year not shown)</t>
        </is>
      </c>
      <c r="P29" s="2" t="inlineStr">
        <is>
          <t>Residential and commercial HVAC repair, installation and maintenance; after-hours emergency service; hours listed Mon-Fri 9am-5pm</t>
        </is>
      </c>
      <c r="Q29" s="2" t="inlineStr"/>
      <c r="R29" s="2" t="inlineStr"/>
      <c r="S29" s="2" t="inlineStr"/>
      <c r="T29" s="2" t="inlineStr"/>
      <c r="U29" s="2" t="inlineStr">
        <is>
          <t>https://www.myfloridalicense.com/LicenseDetail.asp?SID=&amp;id=F41D3744AB2E2ADE9482A8DD1E6AB089</t>
        </is>
      </c>
      <c r="V29" s="2" t="inlineStr">
        <is>
          <t>https://www.myfloridalicense.com/LicenseDetail.asp?SID=&amp;id=F41D3744AB2E2ADE9482A8DD1E6AB089
https://www.bbb.org/us/fl/hallandale/profile/air-conditioning-contractor/carib-air-conditioning-services-0633-23006634
https://www.yelp.com/biz/carib-air-conditioning-services-hallandale-beach-2
https://www.yelp.com/biz/carib-air-conditioning-hallandale-beach-2
https://nextdoor.com/pages/carib-air-conditioning-services-hallandale-beach-fl/
https://www.buildzoom.com/contractor/carib-air-conditioning-services
https://www.yellowpages.com/hallandale-beach-fl/carib-air-conditioning-services</t>
        </is>
      </c>
    </row>
    <row r="30">
      <c r="A30" s="2" t="inlineStr">
        <is>
          <t>B</t>
        </is>
      </c>
      <c r="B30" s="2" t="inlineStr">
        <is>
          <t>Central Air Solutions</t>
        </is>
      </c>
      <c r="C30" s="2" t="inlineStr">
        <is>
          <t>Broward</t>
        </is>
      </c>
      <c r="D30" s="2" t="inlineStr">
        <is>
          <t>Pembroke Pines</t>
        </is>
      </c>
      <c r="E30" s="2" t="inlineStr"/>
      <c r="F30" s="2" t="inlineStr"/>
      <c r="G30" s="2" t="inlineStr">
        <is>
          <t>(954) 842-3040</t>
        </is>
      </c>
      <c r="H30" s="2" t="inlineStr">
        <is>
          <t>https://central-airsolutions.com/</t>
        </is>
      </c>
      <c r="I30" s="2" t="inlineStr">
        <is>
          <t>Broward HQ, founded 2017 and clearly scaling (added insulation, duct and appliance divisions; Nextdoor Neighborhood Favorite 2023; ~200 reviews). Growth signal is concrete but the owner/decision maker is unnamed, so B. Already uses Birdeye, so marketing is not the gap; the multi-division operation is. Site-level checks could not be run (fetch blocked, search budget exhausted).</t>
        </is>
      </c>
      <c r="J30" s="2" t="inlineStr">
        <is>
          <t>Operations Audit &amp; Strategic Roadmap</t>
        </is>
      </c>
      <c r="K30" s="2" t="inlineStr">
        <is>
          <t>Closed Sundays and no 24-hour line while competitors advertise 24/7 (missed emergency calls); older directory shows a prior address (19246 NW 13th St) so some listings are stale; four service lines (AC, ducts, insulation, appliances) run from one office suite with no named manager per line; owner not named anywhere public; Yelp 4.6 with 50-53 reviews vs 198 on Birdeye (reviews concentrated in one tool)</t>
        </is>
      </c>
      <c r="L30" s="2" t="inlineStr">
        <is>
          <t>medium</t>
        </is>
      </c>
      <c r="M30" s="2" t="inlineStr">
        <is>
          <t>Independent, locally owned (owner not named in any snippet)</t>
        </is>
      </c>
      <c r="N30" s="2" t="inlineStr">
        <is>
          <t>Not published; four service lines and about 200 reviews since 2017 suggest roughly 8-20 people</t>
        </is>
      </c>
      <c r="O30" s="2" t="inlineStr">
        <is>
          <t>2017</t>
        </is>
      </c>
      <c r="P30" s="2" t="inlineStr">
        <is>
          <t>AC repair, installation, maintenance, appliances, attic insulation and removal, duct installation and restoration; same-day service; free estimates</t>
        </is>
      </c>
      <c r="Q30" s="2" t="inlineStr"/>
      <c r="R30" s="2" t="inlineStr">
        <is>
          <t>Birdeye (review management; 198 reviews, 5.0)</t>
        </is>
      </c>
      <c r="S30" s="2" t="inlineStr"/>
      <c r="T30" s="2" t="inlineStr"/>
      <c r="U30" s="2" t="inlineStr"/>
      <c r="V30" s="2" t="inlineStr">
        <is>
          <t>https://www.yelp.com/biz/central-air-solutions-pembroke-pines-2
https://reviews.birdeye.com/central-air-solutions-165378469957411
https://central-airsolutions.com/about-us/
https://nextdoor.com/pages/central-air-solutions-pembroke-pines-fl-3/
https://www.ibegin.com/directory/us/florida/pembroke-pines/central-air-solutions-19246-nw-13th-st/
https://www.buildzoom.com/contractor/central-air-solutions</t>
        </is>
      </c>
    </row>
    <row r="31">
      <c r="A31" s="2" t="inlineStr">
        <is>
          <t>B</t>
        </is>
      </c>
      <c r="B31" s="2" t="inlineStr">
        <is>
          <t>Cusano Air Conditioning &amp; Heating, Inc.</t>
        </is>
      </c>
      <c r="C31" s="2" t="inlineStr">
        <is>
          <t>Broward</t>
        </is>
      </c>
      <c r="D31" s="2" t="inlineStr">
        <is>
          <t>Davie</t>
        </is>
      </c>
      <c r="E31" s="2" t="inlineStr"/>
      <c r="F31" s="2" t="inlineStr"/>
      <c r="G31" s="2" t="inlineStr">
        <is>
          <t>(954) 472-8002</t>
        </is>
      </c>
      <c r="H31" s="2" t="inlineStr">
        <is>
          <t>cusanoairconditioning.com</t>
        </is>
      </c>
      <c r="I31" s="2" t="inlineStr">
        <is>
          <t>Fits size and geography (Davie, Broward, est. 5-20 staff, 27-year family-name shop) with a concrete, quotable systems failure (permit never pulled) and an agency-shaped web presence; owner not named in snippets, so B rather than A.</t>
        </is>
      </c>
      <c r="J31" s="2" t="inlineStr">
        <is>
          <t>Systems + AI Enablement</t>
        </is>
      </c>
      <c r="K31" s="2" t="inlineStr">
        <is>
          <t>July 2020 BuildZoom review: customer 'paid everything but they never went to take a permit at City Hall even after years' (no permit tracking); homepage title targets Miami commercial work while the shop sits in Davie and the site is a stack of city service-area pages (agency-SEO pattern); reviews live on Birdeye/BuildZoom/Yahoo rather than on the site; 954-472 main line is a Plantation-area exchange for a Davie shop (possible tracking/legacy number); owner name absent from web presence</t>
        </is>
      </c>
      <c r="L31" s="2" t="inlineStr">
        <is>
          <t>medium</t>
        </is>
      </c>
      <c r="M31" s="2" t="inlineStr">
        <is>
          <t>Independent; family-surname brand (owner not named in snippets)</t>
        </is>
      </c>
      <c r="N31" s="2" t="inlineStr">
        <is>
          <t>Est. 5-20 employees (since 1998, 24/7 service, four-county marketing) - not sourced</t>
        </is>
      </c>
      <c r="O31" s="2" t="inlineStr">
        <is>
          <t>1998</t>
        </is>
      </c>
      <c r="P31" s="2" t="inlineStr">
        <is>
          <t>Residential + commercial AC repair (24/7), system installation, preventative maintenance, indoor air quality; homepage is titled 'Miami Commercial HVAC Services' and claims Miami-Dade, Broward, Palm Beach and Monroe coverage</t>
        </is>
      </c>
      <c r="Q31" s="2" t="inlineStr">
        <is>
          <t>Google count not sourced; Birdeye 4.8 from 50 reviews; 4.8 from 37 reviews on another platform</t>
        </is>
      </c>
      <c r="R31" s="2" t="inlineStr"/>
      <c r="S31" s="2" t="inlineStr"/>
      <c r="T31" s="2" t="inlineStr"/>
      <c r="U31" s="2" t="inlineStr"/>
      <c r="V31" s="2" t="inlineStr">
        <is>
          <t>https://www.bbb.org/us/fl/davie/profile/air-conditioning-contractor/cusano-air-conditioning-heating-inc-0633-90251491
https://reviews.birdeye.com/cusano-air-conditioning-and-heating-inc-166861242434637
https://www.buildzoom.com/contractor/cusano-air-conditioning-and-heating-inc
https://www.manta.com/c/mhxj9vf/cusano-air-conditioning-heat
https://www.cusanoairconditioning.com/
https://www.cusanoairconditioning.com/service-areas/ac-repair-pembroke-pines/
https://www.cusanoairconditioning.com/service-areas/ac-repair-deerfield-beach/
https://www.cusanoairconditioning.com/service-areas/ac-repair-lauderhill/
https://local.yahoo.com/info-224613927-cusano-air-conditioning-and-heating-davie/</t>
        </is>
      </c>
    </row>
    <row r="32">
      <c r="A32" s="2" t="inlineStr">
        <is>
          <t>B</t>
        </is>
      </c>
      <c r="B32" s="2" t="inlineStr">
        <is>
          <t>East Coast Air Conditioning &amp; Refrigeration, Inc.</t>
        </is>
      </c>
      <c r="C32" s="2" t="inlineStr">
        <is>
          <t>Broward</t>
        </is>
      </c>
      <c r="D32" s="2" t="inlineStr">
        <is>
          <t>Plantation</t>
        </is>
      </c>
      <c r="E32" s="2" t="inlineStr"/>
      <c r="F32" s="2" t="inlineStr"/>
      <c r="G32" s="2" t="inlineStr">
        <is>
          <t>(954) 909-5884</t>
        </is>
      </c>
      <c r="H32" s="2" t="inlineStr">
        <is>
          <t>replacemyair.com</t>
        </is>
      </c>
      <c r="I32" s="2" t="inlineStr">
        <is>
          <t>Right size and geography, family-owned, 4.7 Google rating, and at least four observable weak-systems signals on the marketing side; owner not named anywhere, so not A</t>
        </is>
      </c>
      <c r="J32" s="2" t="inlineStr">
        <is>
          <t>Marketing &amp; Website Makeover</t>
        </is>
      </c>
      <c r="K32" s="2" t="inlineStr">
        <is>
          <t>Website copy says 'serving the community for over 100 years' while BBB shows established 2007 (template/agency copy); legal name differs from marketing domain replacemyair.com; paid PR Newswire release (March 2024) = agency-driven marketing; listed hours Mon-Fri 8am-8pm, closed weekends, while advertising 24/7 emergency service; BBB accreditation only since Dec 2021; no CAC number, booking widget or maintenance-plan page seen in snippets</t>
        </is>
      </c>
      <c r="L32" s="2" t="inlineStr">
        <is>
          <t>medium</t>
        </is>
      </c>
      <c r="M32" s="2" t="inlineStr">
        <is>
          <t>Independent, family-owned and operated</t>
        </is>
      </c>
      <c r="N32" s="2" t="inlineStr">
        <is>
          <t>1-10 employees (Apollo record); roughly 3-8 people</t>
        </is>
      </c>
      <c r="O32" s="2" t="inlineStr">
        <is>
          <t>2007 (BBB: in business 19 years; accredited since 12/8/2021)</t>
        </is>
      </c>
      <c r="P32" s="2" t="inlineStr">
        <is>
          <t>Residential AC repair, replacement/installation, maintenance, refrigeration; advertises 24/7 emergency service; city pages for Plantation, Sunrise, Pembroke Pines, Weston</t>
        </is>
      </c>
      <c r="Q32" s="2" t="inlineStr">
        <is>
          <t>4.7 / Count not shown in snippets (BestProsInTown aggregates 144 reviews)</t>
        </is>
      </c>
      <c r="R32" s="2" t="inlineStr"/>
      <c r="S32" s="2" t="inlineStr"/>
      <c r="T32" s="2" t="inlineStr"/>
      <c r="U32" s="2" t="inlineStr"/>
      <c r="V32" s="2" t="inlineStr">
        <is>
          <t>https://www.bbb.org/us/fl/plantation/profile/air-conditioning-contractor/east-coast-air-conditioning-refrigeration-inc-0633-92004881
https://replacemyair.com/
https://www.facebook.com/replacemyair/
https://www.prnewswire.com/news-releases/east-coast-air-conditioning-announces-reliable-and-affordable-ac-repair-in-plantation-fl-302086112.html
https://www.yelp.com/biz/east-coast-air-conditioning-and-refrigeration-plantation-3
https://www.bestprosintown.com/fl/plantation/east-coast-air-conditioning-and-refrigeration-/
https://www.homeadvisor.com/rated.EastCoastAir.57805315.html
https://www.zoominfo.com/c/east-coast-air-conditioning--refrigeration-inc/355440031
https://app.apollo.io/#/organizations/5fd841a00d05e100014ae987</t>
        </is>
      </c>
    </row>
    <row r="33">
      <c r="A33" s="2" t="inlineStr">
        <is>
          <t>B</t>
        </is>
      </c>
      <c r="B33" s="2" t="inlineStr">
        <is>
          <t>Fahrenheit A/C, Inc. (Fahrenheit AC)</t>
        </is>
      </c>
      <c r="C33" s="2" t="inlineStr">
        <is>
          <t>Broward</t>
        </is>
      </c>
      <c r="D33" s="2" t="inlineStr">
        <is>
          <t>Fort Lauderdale / North Lauderdale</t>
        </is>
      </c>
      <c r="E33" s="2" t="inlineStr">
        <is>
          <t>Olbry Ambroise</t>
        </is>
      </c>
      <c r="F33" s="2" t="inlineStr">
        <is>
          <t>Owner (BBB principal, listed as Mr. Olbry Ambroise)</t>
        </is>
      </c>
      <c r="G33" s="2" t="inlineStr">
        <is>
          <t>(954) 793-8610</t>
        </is>
      </c>
      <c r="H33" s="2" t="inlineStr">
        <is>
          <t>https://fahrenheitacfl.com/</t>
        </is>
      </c>
      <c r="I33" s="2" t="inlineStr">
        <is>
          <t>Fits size and geography (Broward, family-owned since 1990, named BBB principal) with several weak-systems signals (77 reviews in 35 years, no booking seen, no license in snippets, inconsistent directory data). Held at B rather than A because the website signals could not be verified directly (search snippets only) and no growth or transition signal was found.</t>
        </is>
      </c>
      <c r="J33" s="2" t="inlineStr">
        <is>
          <t>Marketing &amp; Website Makeover</t>
        </is>
      </c>
      <c r="K33" s="2" t="inlineStr">
        <is>
          <t>(1) Only about 77 reviews at 4.5 after 35 years in business - no review-request engine. (2) No online booking seen; phone-only intake Mon-Fri 8-5. (3) No CAC license number visible in any search snippet of the site. (4) BBB profile mis-categorized as 'Air Compressors' and filed under North Lauderdale while the site says Fort Lauderdale; two different street addresses in directories. (5) Template city-SEO pages (Hollywood, Deerfield, Parkland, Pompano) suggest an agency-built site.</t>
        </is>
      </c>
      <c r="L33" s="2" t="inlineStr">
        <is>
          <t>medium</t>
        </is>
      </c>
      <c r="M33" s="2" t="inlineStr">
        <is>
          <t>Independent, family-owned and operated since 1990 (site); BBB principal Mr. Olbry Ambroise; no private-equity or franchise indicators</t>
        </is>
      </c>
      <c r="N33" s="2" t="inlineStr">
        <is>
          <t>Est. 5-12 employees / 3-6 trucks: 35-year family shop working from a small unit (Unit 311B), 77 reviews, Mon-Fri 8-5 office hours; headcount not published</t>
        </is>
      </c>
      <c r="O33" s="2" t="inlineStr">
        <is>
          <t>1990 (site: 'serving South East Florida since 1990'; directories: 35 years in business)</t>
        </is>
      </c>
      <c r="P33" s="2" t="inlineStr">
        <is>
          <t>Residential and commercial AC repair, installation and maintenance (dedicated AC maintenance page), 24-hour emergency service; serves Broward, Palm Beach and Miami-Dade; city pages for Hollywood, Deerfield Beach, Parkland, Pompano Beach, Lighthouse Point</t>
        </is>
      </c>
      <c r="Q33" s="2" t="inlineStr">
        <is>
          <t>4.5 (per hvacservice.io aggregator; platform not confirmed as Google) / 77 (same aggregator)</t>
        </is>
      </c>
      <c r="R33" s="2" t="inlineStr"/>
      <c r="S33" s="2" t="inlineStr">
        <is>
          <t>Phone: confirmed | Owner: confirmed, single source (BBB principal only) | Independent: Family-owned and operated since 1990 per site (directories say 25-35 years); no acquisition, PE, consolidator or franchise language found. Name-collision caution: 'Fahrenheit Heating &amp; AC LLC' (Seminole, FL, fahrenheitheatac.com) and 'Fahrenheit Heating &amp; Air' (fahrenheithvacfl.com) are different companies that appear in the same searches. Dedicated 'acquired'/'partners with' searches could not be run (budget exhausted).</t>
        </is>
      </c>
      <c r="T33" s="2" t="inlineStr">
        <is>
          <t>BBB files the company in North Lauderdale under the odd category 'Air Compressors'; BBB rating/accreditation not visible in snippets. Reputation: 4.5 stars from 77 reviews (hvacservice.io / nears.me aggregates); a review anecdote says the owner personally returned calls within an hour during a cold snap and dispatched same day — owner is still on the phones. 24-hour emergency service; office hours M-F 8-5; email service@fahrenheitacfl.com; city SEO pages for Hollywood, Oakland Park, Lighthouse Point, Parkland, Pompano, Deerfield, North Lauderdale, Lake Worth. No hiring signals. Researcher's own confidence was medium; nothing found that contradicts the record, but owner and address each rest on one third-party source.</t>
        </is>
      </c>
      <c r="U33" s="2" t="inlineStr">
        <is>
          <t>https://www.bbb.org/us/fl/north-lauderdale/profile/air-compressors/fahrenheit-ac-inc-0633-90563085</t>
        </is>
      </c>
      <c r="V33" s="2" t="inlineStr">
        <is>
          <t>https://www.bbb.org/us/fl/north-lauderdale/profile/air-compressors/fahrenheit-ac-inc-0633-90563085
https://fahrenheitacfl.com/contact-us/
https://fahrenheitacfl.com/
https://fahrenheitacfl.com/ac-maintenance/
https://hvacservice.io/fl/fort-lauderdale/fahrenheit-ac-inc
https://hvac-usa.nears.me/hvac-contractor/united-states/florida/fort-lauderdale/trusted-fahrenheit-ac-inc-fort-lauderdale-fl/
https://www.yellowpages.com/north-lauderdale-fl/fahrenheit-air-conditioning
https://www.buzzboard.ai/company/fahrenheit-ac-fort-lauderdale-fl</t>
        </is>
      </c>
    </row>
    <row r="34">
      <c r="A34" s="2" t="inlineStr">
        <is>
          <t>B</t>
        </is>
      </c>
      <c r="B34" s="2" t="inlineStr">
        <is>
          <t>Southeast Cooling and Heating</t>
        </is>
      </c>
      <c r="C34" s="2" t="inlineStr">
        <is>
          <t>Broward</t>
        </is>
      </c>
      <c r="D34" s="2" t="inlineStr">
        <is>
          <t>Sunrise</t>
        </is>
      </c>
      <c r="E34" s="2" t="inlineStr">
        <is>
          <t>Todd (last name not published)</t>
        </is>
      </c>
      <c r="F34" s="2" t="inlineStr">
        <is>
          <t>Owner (named by customers in reviews)</t>
        </is>
      </c>
      <c r="G34" s="2" t="inlineStr">
        <is>
          <t>(954) 224-5033</t>
        </is>
      </c>
      <c r="H34" s="2" t="inlineStr">
        <is>
          <t>https://southeastcoolingandheating.com/</t>
        </is>
      </c>
      <c r="I34" s="2" t="inlineStr">
        <is>
          <t>Broward owner-operator with the owner clearly in the field and under-60 reviews (two observable signals), but the crew is at the very bottom of the 5-50 band and the owner's last name is not published, so B rather than A. Site-level checks could not be run (fetch blocked, search budget exhausted).</t>
        </is>
      </c>
      <c r="J34" s="2" t="inlineStr">
        <is>
          <t>Systems + AI Enablement</t>
        </is>
      </c>
      <c r="K34" s="2" t="inlineStr">
        <is>
          <t>Only 22-23 Yelp reviews (4.7) and 19 reviews (5.0) on a second directory after 15+ years; owner Todd is working calls himself (named in most reviews); Facebook page plus basic site; no CAC number, booking link or maintenance plan seen in snippets</t>
        </is>
      </c>
      <c r="L34" s="2" t="inlineStr">
        <is>
          <t>medium</t>
        </is>
      </c>
      <c r="M34" s="2" t="inlineStr">
        <is>
          <t>Independent, locally owned and operated</t>
        </is>
      </c>
      <c r="N34" s="2" t="inlineStr">
        <is>
          <t>Owner plus 3 technicians named in reviews; roughly 4-6 people, 2-3 trucks</t>
        </is>
      </c>
      <c r="O34" s="2" t="inlineStr">
        <is>
          <t>Not published; 'over 15 years of experience' claimed</t>
        </is>
      </c>
      <c r="P34" s="2" t="inlineStr">
        <is>
          <t>Residential AC repair, installation, heating, same-day emergency service</t>
        </is>
      </c>
      <c r="Q34" s="2" t="inlineStr"/>
      <c r="R34" s="2" t="inlineStr"/>
      <c r="S34" s="2" t="inlineStr"/>
      <c r="T34" s="2" t="inlineStr"/>
      <c r="U34" s="2" t="inlineStr">
        <is>
          <t>https://www.yelp.com/biz/southeast-cooling-and-heating-sunrise</t>
        </is>
      </c>
      <c r="V34" s="2" t="inlineStr">
        <is>
          <t>https://www.yelp.com/biz/southeast-cooling-and-heating-sunrise
https://southeastcoolingandheating.com/about-us/
https://www.facebook.com/southeastcooling/
https://hvacservice.io/fl/sunrise/southeast-cooling-heating
https://www.excellentcontractor.com/44773/southeast-cooling-heating</t>
        </is>
      </c>
    </row>
    <row r="35">
      <c r="A35" s="2" t="inlineStr">
        <is>
          <t>B</t>
        </is>
      </c>
      <c r="B35" s="2" t="inlineStr">
        <is>
          <t>Stay Cool HVAC In Florida LLC</t>
        </is>
      </c>
      <c r="C35" s="2" t="inlineStr">
        <is>
          <t>Broward</t>
        </is>
      </c>
      <c r="D35" s="2" t="inlineStr">
        <is>
          <t>Hollywood</t>
        </is>
      </c>
      <c r="E35" s="2" t="inlineStr"/>
      <c r="F35" s="2" t="inlineStr"/>
      <c r="G35" s="2" t="inlineStr">
        <is>
          <t>(954) 477-2190</t>
        </is>
      </c>
      <c r="H35" s="2" t="inlineStr">
        <is>
          <t>staycoolinflorida.com</t>
        </is>
      </c>
      <c r="I35" s="2" t="inlineStr">
        <is>
          <t>Broward, family-owned, started 2023 and clearly trying to scale (press releases, HomeAdvisor), so it has the 2021-2025 start-up signal plus several weak-systems signals; owner unnamed and size unverified keep it out of A</t>
        </is>
      </c>
      <c r="J35" s="2" t="inlineStr">
        <is>
          <t>Marketing &amp; Website Makeover</t>
        </is>
      </c>
      <c r="K35" s="2" t="inlineStr">
        <is>
          <t>Yelp page has 49 photos but no review count shown (likely zero reviews); paid EIN Presswire release and HomeAdvisor lead profile = agency/lead-buying marketing; no CAC number in any snippet; no owner named anywhere online; duplicate thin directory profiles (about.me, BuzzBoard, SouthFloridaContractors); 24/7 claim with no visible dispatch system</t>
        </is>
      </c>
      <c r="L35" s="2" t="inlineStr">
        <is>
          <t>medium</t>
        </is>
      </c>
      <c r="M35" s="2" t="inlineStr">
        <is>
          <t>Independent, family-owned LLC (self-described)</t>
        </is>
      </c>
      <c r="N35" s="2" t="inlineStr">
        <is>
          <t>Likely 1-5 people (2023 start-up; no employee count surfaced)</t>
        </is>
      </c>
      <c r="O35" s="2" t="inlineStr">
        <is>
          <t>2023 (Sunbiz LLC document L23000239307)</t>
        </is>
      </c>
      <c r="P35" s="2" t="inlineStr">
        <is>
          <t>Residential AC repair, AC installation/replacement, HVAC maintenance, ductless mini-splits, filtration/IAQ; advertises 24 hours Mon-Sun; serves Hollywood, Fort Lauderdale, Pompano Beach, Deerfield Beach, Boca Raton</t>
        </is>
      </c>
      <c r="Q35" s="2" t="inlineStr"/>
      <c r="R35" s="2" t="inlineStr"/>
      <c r="S35" s="2" t="inlineStr"/>
      <c r="T35" s="2" t="inlineStr"/>
      <c r="U35" s="2" t="inlineStr"/>
      <c r="V35" s="2" t="inlineStr">
        <is>
          <t>https://www.yelp.com/biz/stay-cool-hvac-hollywood
https://about.me/staycoolinflorida
https://staycoolinflorida.com/
https://www.einpresswire.com/article/682206598/stay-cool-hvac-in-florida-llc-announces-innovative-ac-repair-solutions-for-hollywood-florida-residents
https://search.sunbiz.org/Inquiry/corporationsearch/SearchResultDetail?inquirytype=EntityName&amp;aggregateId=flal-l23000239307-387dc1da-68e1-477a-82b5-210fb8c56265
https://www.homeadvisor.com/rated.StayCoolInFloridaLLC.134601308.html
https://www.buzzboard.ai/company/stay-cool-hvac-in-florida-llc-hollywood-fl
https://www.southfloridacontractors.com/contractors/stay-cool-hvac-in-florida-llc/</t>
        </is>
      </c>
    </row>
    <row r="36">
      <c r="A36" s="2" t="inlineStr">
        <is>
          <t>B</t>
        </is>
      </c>
      <c r="B36" s="2" t="inlineStr">
        <is>
          <t>Stream Cold Air Corp</t>
        </is>
      </c>
      <c r="C36" s="2" t="inlineStr">
        <is>
          <t>Broward</t>
        </is>
      </c>
      <c r="D36" s="2" t="inlineStr">
        <is>
          <t>Deerfield Beach</t>
        </is>
      </c>
      <c r="E36" s="2" t="inlineStr">
        <is>
          <t>Rafael Silva</t>
        </is>
      </c>
      <c r="F36" s="2" t="inlineStr">
        <is>
          <t>Founder / Owner / Lead Technician</t>
        </is>
      </c>
      <c r="G36" s="2" t="inlineStr">
        <is>
          <t>(954) 234-3863</t>
        </is>
      </c>
      <c r="H36" s="2" t="inlineStr">
        <is>
          <t>https://streamcoldair.com/</t>
        </is>
      </c>
      <c r="I36" s="2" t="inlineStr">
        <is>
          <t>Owner-operated Broward shop with a named owner and multiple weak-systems signals (owner in the field, no booking, low review velocity), but size likely sits at or below the 5-employee floor so revenue may be under the target band. Good call, smaller ticket.</t>
        </is>
      </c>
      <c r="J36" s="2" t="inlineStr">
        <is>
          <t>Systems + AI Enablement</t>
        </is>
      </c>
      <c r="K36" s="2" t="inlineStr">
        <is>
          <t>(1) Owner is the lead technician - reviews name Rafael on the truck, so sales, dispatch and wrenching sit on one person. (2) Only ~89 reviews after ~10 years (under 10 a year) and just 1 Yelp review. (3) No online booking - request form only. (4) Phones Mon-Sat 8-6, no after-hours capture. (5) No careers / hiring page - growth capped by the owner's hours. (6) Typo in site page titles ('#1 Best HVAC Reoair') - low-cost DIY web presence. (7) BBB A+ but not accredited.</t>
        </is>
      </c>
      <c r="L36" s="2" t="inlineStr">
        <is>
          <t>medium</t>
        </is>
      </c>
      <c r="M36" s="2" t="inlineStr">
        <is>
          <t>Independent, owner-operated corporation; not PE or franchise</t>
        </is>
      </c>
      <c r="N36" s="2" t="inlineStr">
        <is>
          <t>Very small, roughly 2-6 people / 1-3 trucks (owner is the lead tech; 'owner-operated'; under 100 reviews after ~10 years)</t>
        </is>
      </c>
      <c r="O36" s="2" t="inlineStr">
        <is>
          <t>2016 (per company listings; 'more than 10 years of experience')</t>
        </is>
      </c>
      <c r="P36" s="2" t="inlineStr">
        <is>
          <t>Residential and light-commercial AC repair, new installation, preventive maintenance plans (tune-ups, filter, coil cleaning, priority scheduling), indoor air quality, duct cleaning, thermostats; Synchrony financing; English, Spanish, Portuguese</t>
        </is>
      </c>
      <c r="Q36" s="2" t="inlineStr">
        <is>
          <t>5.0 (per directory listings) / Not isolated; Birdeye aggregate shows 89 reviews at 5.0, Yelp 1 review, HomeAdvisor/Angi 4.9 on 6 reviews</t>
        </is>
      </c>
      <c r="R36" s="2" t="inlineStr">
        <is>
          <t>Birdeye (review collection); Synchrony financing portal</t>
        </is>
      </c>
      <c r="S36" s="2" t="inlineStr">
        <is>
          <t>Phone: confirmed | Owner: confirmed | Independent: confirmed - owner-operated corporation established 2016, license CAC 1819845, BBB A+ but NOT accredited; no acquisition, partnership, PE or franchise hits. Synchrony financing is a vendor program, not ownership</t>
        </is>
      </c>
      <c r="T36" s="2" t="inlineStr">
        <is>
          <t>Genuinely small owner-in-the-field shop: Birdeye 5.0 (89 reviews), 5.0 across 87 reviews on another aggregator, HomeAdvisor/Angi 4.9 (6), Yelp 5.0 (1). Hours Mon-Sat 8-6 only (no after-hours line). Team speaks English, Spanish and Portuguese. Offers maintenance plans, commercial maintenance, duct cleaning and HVAC financing; online service-request form on site. No hiring or careers signals. Sunbiz search returned an unrelated 'Silva Communications Inc' (Farley Silva, Deerfield Beach) - do not confuse. Verification basis: cached Nextdoor, Yelp, Birdeye, HomeAdvisor and company-contact snippets; no live lookups possible.</t>
        </is>
      </c>
      <c r="U36" s="2" t="inlineStr">
        <is>
          <t>https://nextdoor.com/pages/stream-cold-air-corp-deerfield-beach-fl/</t>
        </is>
      </c>
      <c r="V36" s="2" t="inlineStr">
        <is>
          <t>https://streamcoldair.com/
https://streamcoldair.com/contact-us/
https://streamcoldair.com/services/
https://streamcoldair.com/financial/
https://streamcoldair.com/request-a-service/
https://nextdoor.com/pages/stream-cold-air-corp-deerfield-beach-fl/
https://www.yelp.com/biz/stream-cold-air-deerfield-beach-3
https://reviews.birdeye.com/stream-cold-air-corp-166582719385990
https://www.homeadvisor.com/rated.StreamColdAirCorp.66295439.html
https://hvacservice.io/fl/deerfield-beach/stream-cold-air-corp</t>
        </is>
      </c>
    </row>
    <row r="37">
      <c r="A37" s="2" t="inlineStr">
        <is>
          <t>B</t>
        </is>
      </c>
      <c r="B37" s="2" t="inlineStr">
        <is>
          <t>The Best Air Conditioning Company</t>
        </is>
      </c>
      <c r="C37" s="2" t="inlineStr">
        <is>
          <t>Broward</t>
        </is>
      </c>
      <c r="D37" s="2" t="inlineStr">
        <is>
          <t>Coral Springs</t>
        </is>
      </c>
      <c r="E37" s="2" t="inlineStr"/>
      <c r="F37" s="2" t="inlineStr"/>
      <c r="G37" s="2" t="inlineStr">
        <is>
          <t>(954) 341-9722</t>
        </is>
      </c>
      <c r="H37" s="2" t="inlineStr">
        <is>
          <t>https://thebestairconditioning.com</t>
        </is>
      </c>
      <c r="I37" s="2" t="inlineStr">
        <is>
          <t>Fits geography (Coral Springs) and likely size, with several observable marketing leaks (duplicate Facebook pages, name and location inconsistencies across Yelp/Nextdoor/BBB, under 60 reviews, no license number in snippets). Owner not named in any snippet; BBB profile exists so the principal can be read before the call.</t>
        </is>
      </c>
      <c r="J37" s="2" t="inlineStr">
        <is>
          <t>Marketing &amp; Website Makeover</t>
        </is>
      </c>
      <c r="K37" s="2" t="inlineStr">
        <is>
          <t>Two separate Facebook pages (facebook.com/thebestairconditioning and /thebestairconditioningcompany); listed as 'Best Air Conditioning' on Yelp vs 'The Best Air Conditioning Company' on BBB and site; Nextdoor page slug places the business in Pompano Beach; only about 26 reviews after 56 years; no CAC number visible in snippets; closed Sundays with no 24/7 line advertised; no booking or maintenance-plan page seen</t>
        </is>
      </c>
      <c r="L37" s="2" t="inlineStr">
        <is>
          <t>medium</t>
        </is>
      </c>
      <c r="M37" s="2" t="inlineStr">
        <is>
          <t>Independent, family owned and operated since 1970</t>
        </is>
      </c>
      <c r="N37" s="2" t="inlineStr">
        <is>
          <t>Likely small (est. 3-10 employees): 56-year single-location shop with about 26 reviews; not confirmed</t>
        </is>
      </c>
      <c r="O37" s="2" t="inlineStr">
        <is>
          <t>1970</t>
        </is>
      </c>
      <c r="P37" s="2" t="inlineStr">
        <is>
          <t>Residential and commercial AC installation, repair, maintenance and replacement; hours Mon-Sat 8:00-5:00</t>
        </is>
      </c>
      <c r="Q37" s="2" t="inlineStr">
        <is>
          <t>4.7 (26 reviews per search summary; platform not confirmed as Google) / 26 (platform not confirmed); Yelp 18 reviews / 28 photos</t>
        </is>
      </c>
      <c r="R37" s="2" t="inlineStr"/>
      <c r="S37" s="2" t="inlineStr"/>
      <c r="T37" s="2" t="inlineStr"/>
      <c r="U37" s="2" t="inlineStr"/>
      <c r="V37" s="2" t="inlineStr">
        <is>
          <t>https://www.bbb.org/us/fl/coral-springs/profile/air-conditioning-contractor/the-best-air-conditioning-company-0633-90604239
https://thebestairconditioning.com/
https://www.yelp.com/biz/best-air-conditioning-coral-springs
https://www.facebook.com/thebestairconditioning/
https://www.facebook.com/thebestairconditioningcompany/
https://nextdoor.com/pages/best-air-conditioning-co-pompano-beach-fl/
https://hvac-usa.nears.me/hvac-contractor/united-states/florida/coral-springs/trusted-the-best-air-conditioning-co-coral-springs-fl/</t>
        </is>
      </c>
    </row>
    <row r="38">
      <c r="A38" s="2" t="inlineStr">
        <is>
          <t>B</t>
        </is>
      </c>
      <c r="B38" s="2" t="inlineStr">
        <is>
          <t>Ask For Cool Air Conditioning, Inc.</t>
        </is>
      </c>
      <c r="C38" s="2" t="inlineStr">
        <is>
          <t>Broward</t>
        </is>
      </c>
      <c r="D38" s="2" t="inlineStr">
        <is>
          <t>Sunrise</t>
        </is>
      </c>
      <c r="E38" s="2" t="inlineStr"/>
      <c r="F38" s="2" t="inlineStr"/>
      <c r="G38" s="2" t="inlineStr"/>
      <c r="H38" s="2" t="inlineStr">
        <is>
          <t>askforcool.com</t>
        </is>
      </c>
      <c r="I38" s="2" t="inlineStr">
        <is>
          <t>Fits size and geography and has a concrete growth signal (hiring a service tech now at pay that requires good dispatch/job-costing), plus template-site and no-phone-in-snippets weaknesses; owner is unnamed and phone was not found, so B not A</t>
        </is>
      </c>
      <c r="J38" s="2" t="inlineStr">
        <is>
          <t>Systems + AI Enablement</t>
        </is>
      </c>
      <c r="K38" s="2" t="inlineStr">
        <is>
          <t>No phone number surfaced in any search snippet (contact friction); programmatic service-area pages (hvac-services-sunrise-fl, hvac-services-pembroke-pines-fl) indicate a template/agency SEO site; Apollo record only created Jun 2025 = thin digital footprint; no review counts surfaced; $23-26/hr base against an '$80k average tech' claim implies commission/spiff pay that only works with tight dispatch and job costing</t>
        </is>
      </c>
      <c r="L38" s="2" t="inlineStr">
        <is>
          <t>low</t>
        </is>
      </c>
      <c r="M38" s="2" t="inlineStr">
        <is>
          <t>Independent, locally owned; owner not named in any snippet</t>
        </is>
      </c>
      <c r="N38" s="2" t="inlineStr">
        <is>
          <t>1-10 employees per Apollo record; actively hiring a service technician, so est. 3-8 staff / 2-4 trucks</t>
        </is>
      </c>
      <c r="O38" s="2" t="inlineStr">
        <is>
          <t>Not stated; site says 'more than a decade of experience' (roughly 2015 or earlier). Apollo organization record created Jun 2025</t>
        </is>
      </c>
      <c r="P38" s="2" t="inlineStr">
        <is>
          <t>Residential HVAC service, repair, installation and maintenance; indoor air quality and energy-savings messaging on city pages</t>
        </is>
      </c>
      <c r="Q38" s="2" t="inlineStr"/>
      <c r="R38" s="2" t="inlineStr"/>
      <c r="S38" s="2" t="inlineStr"/>
      <c r="T38" s="2" t="inlineStr"/>
      <c r="U38" s="2" t="inlineStr"/>
      <c r="V38" s="2" t="inlineStr">
        <is>
          <t>https://www.indeed.com/viewjob?jk=d0fe0868fd4ef364
https://askforcool.com/service-area/hvac-services-sunrise-fl/
https://askforcool.com/service-area/hvac-services-pembroke-pines-fl/
https://app.apollo.io/#/organizations/68444f8abd974e0001e3b215</t>
        </is>
      </c>
    </row>
    <row r="39">
      <c r="A39" s="2" t="inlineStr">
        <is>
          <t>B</t>
        </is>
      </c>
      <c r="B39" s="2" t="inlineStr">
        <is>
          <t>O'Brien Air Conditioning &amp; Construction Services</t>
        </is>
      </c>
      <c r="C39" s="2" t="inlineStr">
        <is>
          <t>Broward</t>
        </is>
      </c>
      <c r="D39" s="2" t="inlineStr">
        <is>
          <t>Fort Lauderdale</t>
        </is>
      </c>
      <c r="E39" s="2" t="inlineStr"/>
      <c r="F39" s="2" t="inlineStr"/>
      <c r="G39" s="2" t="inlineStr">
        <is>
          <t>(954) 205-1381</t>
        </is>
      </c>
      <c r="H39" s="2" t="inlineStr">
        <is>
          <t>obrienac.com</t>
        </is>
      </c>
      <c r="I39" s="2" t="inlineStr">
        <is>
          <t>Fits geography and probable size with one concrete growth signal (hiring commercial HVAC service techs now) and a weak online presence, but the owner is unnamed and phone/address rest on a single Yelp listing. Could move to A once the owner is identified on the call.</t>
        </is>
      </c>
      <c r="J39" s="2" t="inlineStr">
        <is>
          <t>Systems + AI Enablement</t>
        </is>
      </c>
      <c r="K39" s="2" t="inlineStr">
        <is>
          <t>Yelp listing is a bare 'request a quote' page with few or no reviews after 14 years; no Google review count surfaced; actively hiring commercial service techs at $35-40/hr (growth strain on office and dispatch); HVAC plus construction scope means estimates, change orders and permits across two trades; owner name and street address not published in search results.</t>
        </is>
      </c>
      <c r="L39" s="2" t="inlineStr">
        <is>
          <t>low</t>
        </is>
      </c>
      <c r="M39" s="2" t="inlineStr">
        <is>
          <t>Appears independent (company name suggests an O'Brien family owner, unverified); no private-equity or franchise indicators found</t>
        </is>
      </c>
      <c r="N39" s="2" t="inlineStr">
        <is>
          <t>Est. 5-20 employees: 14-year commercial HVAC plus construction contractor actively adding service techs; headcount not published</t>
        </is>
      </c>
      <c r="O39" s="2" t="inlineStr">
        <is>
          <t>About 2011-2012 (Yelp: 14 years in business)</t>
        </is>
      </c>
      <c r="P39" s="2" t="inlineStr">
        <is>
          <t>Commercial HVAC service and repair, air conditioning installation, construction services (hiring commercial HVAC service technicians)</t>
        </is>
      </c>
      <c r="Q39" s="2" t="inlineStr"/>
      <c r="R39" s="2" t="inlineStr"/>
      <c r="S39" s="2" t="inlineStr">
        <is>
          <t>Phone: confirmed | Owner: unverifiable | Independent: Appears to be a small independent commercial/residential HVAC contractor; no acquisition, PE, consolidator or franchise language found. Yelp says 14 years in business (~2011-12), while the Florida corporation that surfaced in a Sunbiz officer search is P17000030794 (filed 2017) — possible reincorporation. Name-collision caution: T.F. O'Brien (tfobrien.com, New York) and O'Brien Heat And Air (obrienheatandair.com) are unrelated companies in the same search results. Dedicated 'acquired'/'partners with' searches could not be run (budget exhausted).</t>
        </is>
      </c>
      <c r="T39" s="2" t="inlineStr">
        <is>
          <t>OWNER LEAD (unverified, do not use as a name on the call without checking Sunbiz): a Sunbiz 'Detail by Officer/Registered Agent Name' result appeared in the search results whose URL parameters reference officer name 'O'Brien, Brandy' on entity P17000030794 and the search term 'O'Brien, Brian K' — this suggests Brandy O'Brien and/or Brian K. O'Brien are officers of the 2017 corporation behind the business, but the names come from a URL, not a page snippet. HIRING NOW: 'HVAC Service Technician - Commercial HVAC' at $35-40/hr, minimum 5 years commercial experience (Indeed snippet; reposted on bebee/Appcast) — a commercial-focused shop scaling its service team. Yelp page is 'Request a Quote' with no review count shown (thin review profile); HomeAdvisor, BuildZoom and Alignable listings exist. Services include hot water heaters, WiFi/smart thermostats, ductless, duct repair/sealing/cleaning, emergency service. Lowest-confidence record of the eight: phone and address each rest on one directory source.</t>
        </is>
      </c>
      <c r="U39" s="2" t="inlineStr"/>
      <c r="V39" s="2" t="inlineStr">
        <is>
          <t>https://www.yelp.com/biz/o-brien-air-conditioning-fort-lauderdale-2</t>
        </is>
      </c>
    </row>
    <row r="40">
      <c r="A40" s="2" t="inlineStr">
        <is>
          <t>C</t>
        </is>
      </c>
      <c r="B40" s="2" t="inlineStr">
        <is>
          <t>4.0 Air &amp; Heat (4.0 Air, Inc)</t>
        </is>
      </c>
      <c r="C40" s="2" t="inlineStr">
        <is>
          <t>Broward</t>
        </is>
      </c>
      <c r="D40" s="2" t="inlineStr">
        <is>
          <t>Hollywood</t>
        </is>
      </c>
      <c r="E40" s="2" t="inlineStr">
        <is>
          <t>Sheldon Martin</t>
        </is>
      </c>
      <c r="F40" s="2" t="inlineStr">
        <is>
          <t>President (BBB principal)</t>
        </is>
      </c>
      <c r="G40" s="2" t="inlineStr">
        <is>
          <t>(954) 998-4022</t>
        </is>
      </c>
      <c r="H40" s="2" t="inlineStr">
        <is>
          <t>https://40air.us/</t>
        </is>
      </c>
      <c r="I40" s="2" t="inlineStr">
        <is>
          <t>Family-owned Broward shop with named owners and several weak-systems signals (Gmail, PO Box, no weekend/after-hours, no booking, no visible Google reviews), but no evidence of volume - likely 1-2 trucks and possibly under the $750K floor. Worth a short call; low expected ticket.</t>
        </is>
      </c>
      <c r="J40" s="2" t="inlineStr">
        <is>
          <t>Marketing &amp; Website Makeover</t>
        </is>
      </c>
      <c r="K40" s="2" t="inlineStr">
        <is>
          <t>(1) Business email is Gmail. (2) PO Box only - no shop or office address published. (3) Hours Mon-Fri 8-5, closed weekends, no emergency line - in South Florida that is weekend AC calls going elsewhere. (4) No online booking. (5) No Google or Yelp review count visible anywhere; only 3 BBB reviews - no review-request engine. (6) Paying for BBB accreditation (since 3/18/2025) rather than building Google reviews. (7) No careers page.</t>
        </is>
      </c>
      <c r="L40" s="2" t="inlineStr">
        <is>
          <t>high</t>
        </is>
      </c>
      <c r="M40" s="2" t="inlineStr">
        <is>
          <t>Independent, family-owned corporation (President and VP share the Martin surname); not PE or franchise</t>
        </is>
      </c>
      <c r="N40" s="2" t="inlineStr">
        <is>
          <t>Very small, roughly 2-5 people / 1-2 trucks (PO Box only, Gmail, Mon-Fri hours) - not confirmed</t>
        </is>
      </c>
      <c r="O40" s="2" t="inlineStr">
        <is>
          <t>2019 (incorporated 10/16/2018; site says founded 2019)</t>
        </is>
      </c>
      <c r="P40" s="2" t="inlineStr">
        <is>
          <t>Residential AC repair, installation, maintenance plans, duct and vent installation/repair; South Florida tri-county</t>
        </is>
      </c>
      <c r="Q40" s="2" t="inlineStr">
        <is>
          <t>Not found in snippets / Not found; only 3 BBB customer reviews visible</t>
        </is>
      </c>
      <c r="R40" s="2" t="inlineStr">
        <is>
          <t>None visible</t>
        </is>
      </c>
      <c r="S40" s="2" t="inlineStr"/>
      <c r="T40" s="2" t="inlineStr"/>
      <c r="U40" s="2" t="inlineStr">
        <is>
          <t>https://www.bbb.org/us/fl/hollywood/profile/air-conditioning-contractor/40-air-inc-0633-92047326</t>
        </is>
      </c>
      <c r="V40" s="2" t="inlineStr">
        <is>
          <t>https://40air.us/
https://www.40air.us/contact-us
https://www.40air.us/about-us
https://www.40air.us/our-services
https://www.bbb.org/us/fl/hollywood/profile/air-conditioning-contractor/40-air-inc-0633-92047326
https://www.myfloridalicense.com/licenseRelation.asp?SID=&amp;licid=5500718</t>
        </is>
      </c>
    </row>
    <row r="41">
      <c r="A41" s="2" t="inlineStr">
        <is>
          <t>C</t>
        </is>
      </c>
      <c r="B41" s="2" t="inlineStr">
        <is>
          <t>A Plus Air Conditioning and Appliances</t>
        </is>
      </c>
      <c r="C41" s="2" t="inlineStr">
        <is>
          <t>Broward</t>
        </is>
      </c>
      <c r="D41" s="2" t="inlineStr">
        <is>
          <t>Coconut Creek</t>
        </is>
      </c>
      <c r="E41" s="2" t="inlineStr"/>
      <c r="F41" s="2" t="inlineStr"/>
      <c r="G41" s="2" t="inlineStr">
        <is>
          <t>(954) 755-2665</t>
        </is>
      </c>
      <c r="H41" s="2" t="inlineStr">
        <is>
          <t>https://acrepairaplus.com (duplicate domains: aplus-ac-appliances-pc.com, aplus-ac-appliances-lw.com)</t>
        </is>
      </c>
      <c r="I41" s="2" t="inlineStr">
        <is>
          <t>Broward family shop with clear marketing leaks (duplicate domains, inconsistent history claims, under 60 reviews), but appliance repair is a large part of the business (appliance-only companies are excluded), the owner is unnamed and size is unknown. Qualify the HVAC share of revenue and truck count on the call before investing time.</t>
        </is>
      </c>
      <c r="J41" s="2" t="inlineStr">
        <is>
          <t>Marketing &amp; Website Makeover</t>
        </is>
      </c>
      <c r="K41" s="2" t="inlineStr">
        <is>
          <t>Three live domains for one company with conflicting '22 years' vs '41+ years' claims (agency churn / duplicate SEO sites); only 20 Yelp reviews; no CAC number visible in snippets; shares the 6574 N State Rd 7 address with 'Pompano Beach Air Conditioner Repair' (separate phone (954) 543-0366, est. 2004, duct/coil cleaning) - ask whether the businesses are related; appliance repair makes up a large share of the service list</t>
        </is>
      </c>
      <c r="L41" s="2" t="inlineStr">
        <is>
          <t>medium</t>
        </is>
      </c>
      <c r="M41" s="2" t="inlineStr">
        <is>
          <t>Independent, family owned and operated</t>
        </is>
      </c>
      <c r="N41" s="2" t="inlineStr">
        <is>
          <t>Likely small (est. 3-10 employees) given 20 Yelp reviews and mixed appliance + AC work; not confirmed</t>
        </is>
      </c>
      <c r="O41" s="2" t="inlineStr">
        <is>
          <t>Family owned 22+ years per acrepairaplus.com (c. 2003); sister domain aplus-ac-appliances-pc.com claims 41+ years</t>
        </is>
      </c>
      <c r="P41" s="2" t="inlineStr">
        <is>
          <t>AC sales, service and repair (24-hour) plus major appliance repair (refrigerators, freezers, ice makers and ice machines, ranges, disposals, washers, dryers, dishwashers, microwaves); North Broward and South Palm Beach</t>
        </is>
      </c>
      <c r="Q41" s="2" t="inlineStr">
        <is>
          <t>Not visible in snippets; Yelp 20 reviews</t>
        </is>
      </c>
      <c r="R41" s="2" t="inlineStr"/>
      <c r="S41" s="2" t="inlineStr"/>
      <c r="T41" s="2" t="inlineStr"/>
      <c r="U41" s="2" t="inlineStr"/>
      <c r="V41" s="2" t="inlineStr">
        <is>
          <t>https://www.yelp.com/biz/a-plus-air-conditioning-and-appliances-coconut-creek
https://acrepairaplus.com/
https://acrepairaplus.com/contact-us/
https://acrepairaplus.com/broward-county/
https://aplus-ac-appliances-pc.com/
https://aplus-ac-appliances-lw.com/
https://aplus-ac-appliances-pc.com/AC-Repair_Juno-Beach_FL.htm
https://www.yelp.com/biz/pompano-beach-air-conditioner-repair-coconut-creek</t>
        </is>
      </c>
    </row>
    <row r="42">
      <c r="A42" s="2" t="inlineStr">
        <is>
          <t>C</t>
        </is>
      </c>
      <c r="B42" s="2" t="inlineStr">
        <is>
          <t>Top Shelf Air Conditioning</t>
        </is>
      </c>
      <c r="C42" s="2" t="inlineStr">
        <is>
          <t>Broward</t>
        </is>
      </c>
      <c r="D42" s="2" t="inlineStr">
        <is>
          <t>Coral Springs</t>
        </is>
      </c>
      <c r="E42" s="2" t="inlineStr">
        <is>
          <t>Matt (last name not found in snippets)</t>
        </is>
      </c>
      <c r="F42" s="2" t="inlineStr">
        <is>
          <t>Owner/technician (named in Yelp reviews as the tech on calls)</t>
        </is>
      </c>
      <c r="G42" s="2" t="inlineStr">
        <is>
          <t>(954) 895-0945</t>
        </is>
      </c>
      <c r="H42" s="2" t="inlineStr">
        <is>
          <t>https://topshelfcooling.com</t>
        </is>
      </c>
      <c r="I42" s="2" t="inlineStr">
        <is>
          <t>Right geography and a hands-on owner, but likely a one- or two-truck operation under the 5-employee floor, owner known by first name only, and thin evidence overall. Worth a short call to confirm crew size; if he has 2+ trucks the booking/estimate/invoice setup is the right first job.</t>
        </is>
      </c>
      <c r="J42" s="2" t="inlineStr">
        <is>
          <t>Systems + AI Enablement</t>
        </is>
      </c>
      <c r="K42" s="2" t="inlineStr">
        <is>
          <t>Owner is the tech on every call cited in reviews (no office layer); only 15 Yelp reviews; brand inconsistency (site about page says 'Top Shelf Heating &amp; Air', Yelp/Yellow Pages say 'Top Shelf Air Conditioning'); listed in a small-appliance-repair directory; no CAC number in snippets; no booking seen</t>
        </is>
      </c>
      <c r="L42" s="2" t="inlineStr">
        <is>
          <t>medium</t>
        </is>
      </c>
      <c r="M42" s="2" t="inlineStr">
        <is>
          <t>Independent owner-operator</t>
        </is>
      </c>
      <c r="N42" s="2" t="inlineStr">
        <is>
          <t>Owner-operator, likely 1-4 people (owner runs the service calls himself); probably below the 5-employee floor unless confirmed otherwise</t>
        </is>
      </c>
      <c r="O42" s="2" t="inlineStr"/>
      <c r="P42" s="2" t="inlineStr">
        <is>
          <t>Residential and commercial HVAC repair, duct repair, appliance repair, pool heaters, refrigeration, indoor air quality analysis; state licensed and insured, EPA certified, Nest Pro certified</t>
        </is>
      </c>
      <c r="Q42" s="2" t="inlineStr">
        <is>
          <t>Not visible in snippets; Yelp 4.7 (15 reviews)</t>
        </is>
      </c>
      <c r="R42" s="2" t="inlineStr"/>
      <c r="S42" s="2" t="inlineStr"/>
      <c r="T42" s="2" t="inlineStr"/>
      <c r="U42" s="2" t="inlineStr">
        <is>
          <t>https://www.yelp.com/biz/top-shelf-air-conditioning-coral-springs</t>
        </is>
      </c>
      <c r="V42" s="2" t="inlineStr">
        <is>
          <t>https://www.yelp.com/biz/top-shelf-air-conditioning-coral-springs
https://topshelfcooling.com/about
https://nextdoor.com/pages/top-shelf-air-conditioning-coral-springs-fl/
https://www.yellowpages.com/coral-springs-fl/mip/top-shelf-air-conditioning-524870342
https://small-appliance-repair-services.cmac.ws/top-shelf-air-conditioning/2026/</t>
        </is>
      </c>
    </row>
    <row r="43">
      <c r="A43" s="2" t="inlineStr">
        <is>
          <t>C</t>
        </is>
      </c>
      <c r="B43" s="2" t="inlineStr">
        <is>
          <t>West End AC, Inc. (West End Air Conditioning)</t>
        </is>
      </c>
      <c r="C43" s="2" t="inlineStr">
        <is>
          <t>Broward</t>
        </is>
      </c>
      <c r="D43" s="2" t="inlineStr">
        <is>
          <t>Sunrise</t>
        </is>
      </c>
      <c r="E43" s="2" t="inlineStr"/>
      <c r="F43" s="2" t="inlineStr"/>
      <c r="G43" s="2" t="inlineStr">
        <is>
          <t>(954) 741-5271</t>
        </is>
      </c>
      <c r="H43" s="2" t="inlineStr"/>
      <c r="I43" s="2" t="inlineStr">
        <is>
          <t>Plausible Broward family shop with a BBB A+ storefront and a clear review gap, but owner, website, founding year and size are all unknown because the search budget ran out before owner/BBB-principal queries could be run</t>
        </is>
      </c>
      <c r="J43" s="2" t="inlineStr">
        <is>
          <t>Marketing &amp; Website Makeover</t>
        </is>
      </c>
      <c r="K43" s="2" t="inlineStr">
        <is>
          <t>Only 1-2 Yelp reviews (4.5 stars on 2 reviews in one snippet, 5.0 on 1 review in another); no company website appeared in any search result (directory/BBB-only presence); Yelp 'responds in about 12 hours'; no CAC number, booking or maintenance plan visible anywhere</t>
        </is>
      </c>
      <c r="L43" s="2" t="inlineStr">
        <is>
          <t>medium</t>
        </is>
      </c>
      <c r="M43" s="2" t="inlineStr">
        <is>
          <t>Independent; Yelp describes it as locally owned and family-owned and operated</t>
        </is>
      </c>
      <c r="N43" s="2" t="inlineStr">
        <is>
          <t>Unknown (no employee count surfaced)</t>
        </is>
      </c>
      <c r="O43" s="2" t="inlineStr"/>
      <c r="P43" s="2" t="inlineStr">
        <is>
          <t>Residential HVAC repair, installation and maintenance (per Yelp category); BBB A+ accredited air conditioning contractor</t>
        </is>
      </c>
      <c r="Q43" s="2" t="inlineStr"/>
      <c r="R43" s="2" t="inlineStr"/>
      <c r="S43" s="2" t="inlineStr"/>
      <c r="T43" s="2" t="inlineStr"/>
      <c r="U43" s="2" t="inlineStr"/>
      <c r="V43" s="2" t="inlineStr">
        <is>
          <t>https://www.bbb.org/us/fl/plantation/category/air-conditioning-contractor/accredited
https://www.yelp.com/search?find_desc=Hvac&amp;find_loc=Plantation%2C+FL
https://www.yelp.com/search?find_desc=Heating+and+Air+Conditioning+Companies&amp;find_loc=Davie%2C+FL</t>
        </is>
      </c>
    </row>
    <row r="44">
      <c r="A44" s="2" t="inlineStr">
        <is>
          <t>C</t>
        </is>
      </c>
      <c r="B44" s="2" t="inlineStr">
        <is>
          <t>Air Nifty Air Conditioning (listed on HomeGuide as Ice C Cool Mechanical Inc)</t>
        </is>
      </c>
      <c r="C44" s="2" t="inlineStr">
        <is>
          <t>Broward</t>
        </is>
      </c>
      <c r="D44" s="2" t="inlineStr">
        <is>
          <t>Margate</t>
        </is>
      </c>
      <c r="E44" s="2" t="inlineStr"/>
      <c r="F44" s="2" t="inlineStr"/>
      <c r="G44" s="2" t="inlineStr"/>
      <c r="H44" s="2" t="inlineStr">
        <is>
          <t>airnifty.com</t>
        </is>
      </c>
      <c r="I44" s="2" t="inlineStr">
        <is>
          <t>Fits ownership and geography (28-year family shop in Margate, license shown) but evidence is thin: no phone, owner, address, or review data surfaced; the only observable weak-systems signal is the dual-name listing. Borderline size (possibly under 5 staff).</t>
        </is>
      </c>
      <c r="J44" s="2" t="inlineStr">
        <is>
          <t>Marketing &amp; Website Makeover</t>
        </is>
      </c>
      <c r="K44" s="2" t="inlineStr">
        <is>
          <t>Operates under two identities online (Air Nifty on its site vs. legal name Ice C Cool Mechanical Inc on HomeGuide), which splits reviews and confuses search; phone and street address do not surface in snippets; no reviews, booking, or maintenance-plan page visible in snippets</t>
        </is>
      </c>
      <c r="L44" s="2" t="inlineStr">
        <is>
          <t>low</t>
        </is>
      </c>
      <c r="M44" s="2" t="inlineStr">
        <is>
          <t>Independent; family-run since 1997</t>
        </is>
      </c>
      <c r="N44" s="2" t="inlineStr">
        <is>
          <t>Likely 2-10 employees (family-run, single Margate location) - not sourced</t>
        </is>
      </c>
      <c r="O44" s="2" t="inlineStr">
        <is>
          <t>1997</t>
        </is>
      </c>
      <c r="P44" s="2" t="inlineStr">
        <is>
          <t>Residential AC repair, installation and maintenance; service pages for Tamarac and surrounding north-Broward cities</t>
        </is>
      </c>
      <c r="Q44" s="2" t="inlineStr">
        <is>
          <t>Not sourced</t>
        </is>
      </c>
      <c r="R44" s="2" t="inlineStr"/>
      <c r="S44" s="2" t="inlineStr"/>
      <c r="T44" s="2" t="inlineStr"/>
      <c r="U44" s="2" t="inlineStr"/>
      <c r="V44" s="2" t="inlineStr">
        <is>
          <t>https://www.airnifty.com/tamarac-ac-repair/
https://homeguide.com/fl/margate/central-air-conditioning-repair/ice-c-cool-mechanical--inc-c0Il6z6cP</t>
        </is>
      </c>
    </row>
    <row r="45">
      <c r="A45" s="2" t="inlineStr">
        <is>
          <t>C</t>
        </is>
      </c>
      <c r="B45" s="2" t="inlineStr">
        <is>
          <t>Amplus AC (AMPLUS AC, INC)</t>
        </is>
      </c>
      <c r="C45" s="2" t="inlineStr">
        <is>
          <t>Broward</t>
        </is>
      </c>
      <c r="D45" s="2" t="inlineStr">
        <is>
          <t>Hollywood</t>
        </is>
      </c>
      <c r="E45" s="2" t="inlineStr"/>
      <c r="F45" s="2" t="inlineStr"/>
      <c r="G45" s="2" t="inlineStr"/>
      <c r="H45" s="2" t="inlineStr">
        <is>
          <t>https://amplusac.com/index.html</t>
        </is>
      </c>
      <c r="I45" s="2" t="inlineStr">
        <is>
          <t>Fits geography (Hollywood, Broward) and profile (family owned/operated 30+ years, residential + commercial), and the dated static site is a genuine weak-systems signal, but no phone, address, owner name, size or review count could be sourced before the web-search budget ran out. Needs a phone lookup before Monday.</t>
        </is>
      </c>
      <c r="J45" s="2" t="inlineStr">
        <is>
          <t>Marketing &amp; Website Makeover</t>
        </is>
      </c>
      <c r="K45" s="2" t="inlineStr">
        <is>
          <t>Website is still served as a bare /index.html static page (dated build); no phone, street address, reviews, CAC license number, maintenance-plan page or booking link surfaced in any search snippet; Google review count did not surface; Apollo has a company record (AMPLUS AC, INC) but no listed people on the free tier.</t>
        </is>
      </c>
      <c r="L45" s="2" t="inlineStr">
        <is>
          <t>low</t>
        </is>
      </c>
      <c r="M45" s="2" t="inlineStr">
        <is>
          <t>Independent; family owned and operated (HomeGuide listing copy)</t>
        </is>
      </c>
      <c r="N45" s="2" t="inlineStr">
        <is>
          <t>Unknown; no employee count surfaced. Single static page site suggests a small shop.</t>
        </is>
      </c>
      <c r="O45" s="2" t="inlineStr">
        <is>
          <t>30+ years in business per HomeGuide listing; exact year not shown</t>
        </is>
      </c>
      <c r="P45" s="2" t="inlineStr">
        <is>
          <t>Residential and commercial heating and cooling (repair, install, service) per listing copy</t>
        </is>
      </c>
      <c r="Q45" s="2" t="inlineStr"/>
      <c r="R45" s="2" t="inlineStr"/>
      <c r="S45" s="2" t="inlineStr"/>
      <c r="T45" s="2" t="inlineStr"/>
      <c r="U45" s="2" t="inlineStr"/>
      <c r="V45" s="2" t="inlineStr">
        <is>
          <t>https://amplusac.com/index.html
https://homeguide.com/fl/hollywood/central-air-conditioning-installation/
Apollo.io organizations lookup (free tier): record 'AMPLUS AC, INC', domain amplusac.com</t>
        </is>
      </c>
    </row>
    <row r="46">
      <c r="A46" s="2" t="inlineStr">
        <is>
          <t>C</t>
        </is>
      </c>
      <c r="B46" s="2" t="inlineStr">
        <is>
          <t>August Breeze, Inc.</t>
        </is>
      </c>
      <c r="C46" s="2" t="inlineStr">
        <is>
          <t>Broward</t>
        </is>
      </c>
      <c r="D46" s="2" t="inlineStr">
        <is>
          <t>Davie</t>
        </is>
      </c>
      <c r="E46" s="2" t="inlineStr"/>
      <c r="F46" s="2" t="inlineStr"/>
      <c r="G46" s="2" t="inlineStr">
        <is>
          <t>(844) 627-3393</t>
        </is>
      </c>
      <c r="H46" s="2" t="inlineStr">
        <is>
          <t>augustbreeze.com (per Apollo index; not fetched)</t>
        </is>
      </c>
      <c r="I46" s="2" t="inlineStr">
        <is>
          <t>Fits geography (Davie) and looks independent and early-stage, with one real signal (new BBB accreditation + tracking number), but size, owner and reviews are all unverified, so evidence is too thin for B.</t>
        </is>
      </c>
      <c r="J46" s="2" t="inlineStr">
        <is>
          <t>Marketing &amp; Website Makeover</t>
        </is>
      </c>
      <c r="K46" s="2" t="inlineStr">
        <is>
          <t>1) Only public phone is a toll-free 844 number (agency tracking-line pattern) rather than a local 954 line. 2) No Google or Yelp review count surfaced anywhere. 3) No CAC license number seen in any snippet. 4) No principal named on the BBB snippet. 5) BBB accredited only since 7/16/2024 while its Apollo web record dates to Oct 2021, i.e. a young company now formalizing.</t>
        </is>
      </c>
      <c r="L46" s="2" t="inlineStr">
        <is>
          <t>low</t>
        </is>
      </c>
      <c r="M46" s="2" t="inlineStr">
        <is>
          <t>Independent (Inc.; no consolidator, PE or franchise markers seen)</t>
        </is>
      </c>
      <c r="N46" s="2" t="inlineStr">
        <is>
          <t>Unknown; no employee count surfaced. Toll-free number and 2024 BBB accreditation suggest a small, newly formalizing shop</t>
        </is>
      </c>
      <c r="O46" s="2" t="inlineStr"/>
      <c r="P46" s="2" t="inlineStr">
        <is>
          <t>Air conditioning contractor (BBB category); service detail not shown in snippets</t>
        </is>
      </c>
      <c r="Q46" s="2" t="inlineStr"/>
      <c r="R46" s="2" t="inlineStr"/>
      <c r="S46" s="2" t="inlineStr"/>
      <c r="T46" s="2" t="inlineStr"/>
      <c r="U46" s="2" t="inlineStr"/>
      <c r="V46" s="2" t="inlineStr">
        <is>
          <t>https://www.bbb.org/us/fl/davie/profile/air-conditioning-contractor/august-breeze-inc-0633-90568640
https://www.bbb.org/us/fl/plantation/category/air-conditioning-contractor/accredited
Apollo.io organizations lookup (free) for augustbreeze.com, org record created 2021-10-08</t>
        </is>
      </c>
    </row>
    <row r="47">
      <c r="A47" s="2" t="inlineStr">
        <is>
          <t>C</t>
        </is>
      </c>
      <c r="B47" s="2" t="inlineStr">
        <is>
          <t>Blue Mountain Air Conditioning</t>
        </is>
      </c>
      <c r="C47" s="2" t="inlineStr">
        <is>
          <t>Broward</t>
        </is>
      </c>
      <c r="D47" s="2" t="inlineStr">
        <is>
          <t>Margate</t>
        </is>
      </c>
      <c r="E47" s="2" t="inlineStr"/>
      <c r="F47" s="2" t="inlineStr"/>
      <c r="G47" s="2" t="inlineStr"/>
      <c r="H47" s="2" t="inlineStr">
        <is>
          <t>https://www.bluemountainaire.com/</t>
        </is>
      </c>
      <c r="I47" s="2" t="inlineStr">
        <is>
          <t>Margate family-owned install/repair shop fits geography and profile, but only the site's own marketing copy surfaced: no phone, owner, address, size, license or reviews, and no Apollo record. Plausible but too thin to call without a phone lookup.</t>
        </is>
      </c>
      <c r="J47" s="2" t="inlineStr">
        <is>
          <t>Marketing &amp; Website Makeover</t>
        </is>
      </c>
      <c r="K47" s="2" t="inlineStr">
        <is>
          <t>Site runs city landing pages (/coconut-creek-fl/) in an SEO-template style; no phone, address, owner name, CAC license number, reviews, maintenance-plan page or booking link surfaced in any snippet; company has no Apollo record at all (very thin web footprint).</t>
        </is>
      </c>
      <c r="L47" s="2" t="inlineStr">
        <is>
          <t>low</t>
        </is>
      </c>
      <c r="M47" s="2" t="inlineStr">
        <is>
          <t>Independent; family owned (site copy via search summary)</t>
        </is>
      </c>
      <c r="N47" s="2" t="inlineStr">
        <is>
          <t>Unknown; no employee count, team page or review count surfaced</t>
        </is>
      </c>
      <c r="O47" s="2" t="inlineStr"/>
      <c r="P47" s="2" t="inlineStr">
        <is>
          <t>AC installations, maintenance, repairs and upgrades for Margate, Coconut Creek and surrounding areas (site copy via search summary)</t>
        </is>
      </c>
      <c r="Q47" s="2" t="inlineStr"/>
      <c r="R47" s="2" t="inlineStr"/>
      <c r="S47" s="2" t="inlineStr"/>
      <c r="T47" s="2" t="inlineStr"/>
      <c r="U47" s="2" t="inlineStr"/>
      <c r="V47" s="2" t="inlineStr">
        <is>
          <t>https://www.bluemountainaire.com/coconut-creek-fl/
https://www.bluemountainaire.com/
Apollo.io organizations lookup (free tier): no record found by domain or fuzzy name</t>
        </is>
      </c>
    </row>
    <row r="48">
      <c r="A48" s="2" t="inlineStr">
        <is>
          <t>C</t>
        </is>
      </c>
      <c r="B48" s="2" t="inlineStr">
        <is>
          <t>Daily AC, Inc.</t>
        </is>
      </c>
      <c r="C48" s="2" t="inlineStr">
        <is>
          <t>Broward</t>
        </is>
      </c>
      <c r="D48" s="2" t="inlineStr">
        <is>
          <t>Davie</t>
        </is>
      </c>
      <c r="E48" s="2" t="inlineStr"/>
      <c r="F48" s="2" t="inlineStr"/>
      <c r="G48" s="2" t="inlineStr">
        <is>
          <t>(855) 434-9692</t>
        </is>
      </c>
      <c r="H48" s="2" t="inlineStr"/>
      <c r="I48" s="2" t="inlineStr">
        <is>
          <t>Plausible Broward family shop with BBB A+ and two weak-systems signals (tracking number, thin 4.0 reputation), but owner, website, founding year and size are unknown and the only phone is a toll-free line, so evidence is thin</t>
        </is>
      </c>
      <c r="J48" s="2" t="inlineStr">
        <is>
          <t>Marketing &amp; Website Makeover</t>
        </is>
      </c>
      <c r="K48" s="2" t="inlineStr">
        <is>
          <t>Only phone listed on BBB is a toll-free 855 number (typical marketing-agency tracking line; no local 954/754 number surfaced); Yelp 4.0 stars on 9 reviews; no company website appeared in any search result; no CAC number, booking or maintenance plan visible anywhere</t>
        </is>
      </c>
      <c r="L48" s="2" t="inlineStr">
        <is>
          <t>low</t>
        </is>
      </c>
      <c r="M48" s="2" t="inlineStr">
        <is>
          <t>Independent; Yelp describes it as family-owned and operated</t>
        </is>
      </c>
      <c r="N48" s="2" t="inlineStr">
        <is>
          <t>Unknown (no employee count surfaced)</t>
        </is>
      </c>
      <c r="O48" s="2" t="inlineStr"/>
      <c r="P48" s="2" t="inlineStr">
        <is>
          <t>Residential HVAC repair, installation and maintenance (per Yelp category, 'certified professionals'); BBB A+ accredited air conditioning contractor</t>
        </is>
      </c>
      <c r="Q48" s="2" t="inlineStr"/>
      <c r="R48" s="2" t="inlineStr"/>
      <c r="S48" s="2" t="inlineStr"/>
      <c r="T48" s="2" t="inlineStr"/>
      <c r="U48" s="2" t="inlineStr"/>
      <c r="V48" s="2" t="inlineStr">
        <is>
          <t>https://www.bbb.org/us/fl/plantation/category/air-conditioning-contractor/accredited
https://www.yelp.com/search?find_desc=Hvac&amp;find_loc=Plantation%2C+FL</t>
        </is>
      </c>
    </row>
    <row r="49">
      <c r="A49" s="2" t="inlineStr">
        <is>
          <t>C</t>
        </is>
      </c>
      <c r="B49" s="2" t="inlineStr">
        <is>
          <t>Dashing Air</t>
        </is>
      </c>
      <c r="C49" s="2" t="inlineStr">
        <is>
          <t>Broward</t>
        </is>
      </c>
      <c r="D49" s="2" t="inlineStr">
        <is>
          <t>Hollywood</t>
        </is>
      </c>
      <c r="E49" s="2" t="inlineStr">
        <is>
          <t>Ruben (last name not published)</t>
        </is>
      </c>
      <c r="F49" s="2" t="inlineStr">
        <is>
          <t>Owner-operator</t>
        </is>
      </c>
      <c r="G49" s="2" t="inlineStr">
        <is>
          <t>(954) 367-5702</t>
        </is>
      </c>
      <c r="H49" s="2" t="inlineStr"/>
      <c r="I49" s="2" t="inlineStr">
        <is>
          <t>Right county and a genuinely owner-run shop with a good word-of-mouth reputation, but it appears to be a one-man operation with no infrastructure, so it is below the ideal 5-50 size and the evidence is a single Nextdoor page.</t>
        </is>
      </c>
      <c r="J49" s="2" t="inlineStr">
        <is>
          <t>Marketing &amp; Website Makeover</t>
        </is>
      </c>
      <c r="K49" s="2" t="inlineStr">
        <is>
          <t>1) Nextdoor is the only online presence found: no website, no Yelp, no Google listing surfaced, no BBB profile. 2) No review count anywhere. 3) No business address published. 4) No CAC license number visible. 5) No Apollo or directory record at all.</t>
        </is>
      </c>
      <c r="L49" s="2" t="inlineStr">
        <is>
          <t>low</t>
        </is>
      </c>
      <c r="M49" s="2" t="inlineStr">
        <is>
          <t>Independent owner-operator</t>
        </is>
      </c>
      <c r="N49" s="2" t="inlineStr">
        <is>
          <t>Likely 1-2 (owner Ruben does the jobs himself per neighbors); below the 5-employee target floor</t>
        </is>
      </c>
      <c r="O49" s="2" t="inlineStr"/>
      <c r="P49" s="2" t="inlineStr">
        <is>
          <t>Residential AC cleaning, repair and replacement (per Nextdoor neighbor recommendations)</t>
        </is>
      </c>
      <c r="Q49" s="2" t="inlineStr"/>
      <c r="R49" s="2" t="inlineStr"/>
      <c r="S49" s="2" t="inlineStr"/>
      <c r="T49" s="2" t="inlineStr"/>
      <c r="U49" s="2" t="inlineStr">
        <is>
          <t>https://nextdoor.com/pages/dashing-air-hollywood-fl/</t>
        </is>
      </c>
      <c r="V49" s="2" t="inlineStr">
        <is>
          <t>https://nextdoor.com/pages/dashing-air-hollywood-fl/</t>
        </is>
      </c>
    </row>
    <row r="50">
      <c r="A50" s="2" t="inlineStr">
        <is>
          <t>C</t>
        </is>
      </c>
      <c r="B50" s="2" t="inlineStr">
        <is>
          <t>EH Air Conditioning &amp; Heating</t>
        </is>
      </c>
      <c r="C50" s="2" t="inlineStr">
        <is>
          <t>Broward</t>
        </is>
      </c>
      <c r="D50" s="2" t="inlineStr">
        <is>
          <t>Plantation</t>
        </is>
      </c>
      <c r="E50" s="2" t="inlineStr"/>
      <c r="F50" s="2" t="inlineStr"/>
      <c r="G50" s="2" t="inlineStr">
        <is>
          <t>(786) 586-8807</t>
        </is>
      </c>
      <c r="H50" s="2" t="inlineStr">
        <is>
          <t>None found (Yelp listing only)</t>
        </is>
      </c>
      <c r="I50" s="2" t="inlineStr">
        <is>
          <t>Right geography and owner-operated, but appears to be a one-man operation with no named owner, no address and a Yelp-only footprint; plausible entry-level website/booking client but borderline on size and budget</t>
        </is>
      </c>
      <c r="J50" s="2" t="inlineStr">
        <is>
          <t>Marketing &amp; Website Makeover</t>
        </is>
      </c>
      <c r="K50" s="2" t="inlineStr">
        <is>
          <t>No website; Yelp is the only online presence (17 photos, no review count surfaced); Miami 786 phone number for a Plantation shop; no street address shown (service-area business); Zelle/Venmo payments suggest manual invoicing with no field-service software; hours Mon-Fri 8-5:30, Sat 8-2 with the owner in the field means calls likely go unanswered on jobs</t>
        </is>
      </c>
      <c r="L50" s="2" t="inlineStr">
        <is>
          <t>low</t>
        </is>
      </c>
      <c r="M50" s="2" t="inlineStr">
        <is>
          <t>Independent owner-operator (owner is the tech); owner name not published</t>
        </is>
      </c>
      <c r="N50" s="2" t="inlineStr">
        <is>
          <t>Solo or 1-2 person owner-operator (likely below the 5-employee floor)</t>
        </is>
      </c>
      <c r="O50" s="2" t="inlineStr">
        <is>
          <t>2008 (per Yelp)</t>
        </is>
      </c>
      <c r="P50" s="2" t="inlineStr">
        <is>
          <t>Residential AC and heating repair and service with upfront pricing; owner is the technician; accepts credit cards, Zelle and Venmo; ASL proficient</t>
        </is>
      </c>
      <c r="Q50" s="2" t="inlineStr"/>
      <c r="R50" s="2" t="inlineStr"/>
      <c r="S50" s="2" t="inlineStr"/>
      <c r="T50" s="2" t="inlineStr"/>
      <c r="U50" s="2" t="inlineStr"/>
      <c r="V50" s="2" t="inlineStr">
        <is>
          <t>https://www.yelp.com/biz/eh-air-conditioning-and-heating-plantation</t>
        </is>
      </c>
    </row>
    <row r="51">
      <c r="A51" s="2" t="inlineStr">
        <is>
          <t>C</t>
        </is>
      </c>
      <c r="B51" s="2" t="inlineStr">
        <is>
          <t>Snowflakes Air Conditioning</t>
        </is>
      </c>
      <c r="C51" s="2" t="inlineStr">
        <is>
          <t>Broward</t>
        </is>
      </c>
      <c r="D51" s="2" t="inlineStr">
        <is>
          <t>North Lauderdale</t>
        </is>
      </c>
      <c r="E51" s="2" t="inlineStr"/>
      <c r="F51" s="2" t="inlineStr"/>
      <c r="G51" s="2" t="inlineStr">
        <is>
          <t>(954) 554-9191</t>
        </is>
      </c>
      <c r="H51" s="2" t="inlineStr">
        <is>
          <t>https://www.snowflakesac.com/</t>
        </is>
      </c>
      <c r="I51" s="2" t="inlineStr">
        <is>
          <t>Plausible Broward owner-operator, but evidence is thin and size is probably below the 5-employee floor; owner unnamed; no BBB, review, license or booking data could be gathered before the search budget ran out. Spend 3 minutes on Google Maps + Sunbiz (search 'Snowflakes Air') before calling</t>
        </is>
      </c>
      <c r="J51" s="2" t="inlineStr">
        <is>
          <t>Systems + AI Enablement (Housecall Pro setup with automated booking, invoicing and follow-up), provisional</t>
        </is>
      </c>
      <c r="K51" s="2" t="inlineStr">
        <is>
          <t>(1) Operates from a residential address with no shop. (2) Site is a city-page SEO template (e.g. /ac-repair-wilton-manors/), typically agency-built. Nothing else could be verified: the session's web-search budget was exhausted after companies 1-2, WebFetch is blocked, Apollo people search is not on this plan and Apollo's org lookup has no record for the domain</t>
        </is>
      </c>
      <c r="L51" s="2" t="inlineStr">
        <is>
          <t>low</t>
        </is>
      </c>
      <c r="M51" s="2" t="inlineStr">
        <is>
          <t>Appears independent owner-operator (run from a home address); not verified</t>
        </is>
      </c>
      <c r="N51" s="2" t="inlineStr">
        <is>
          <t>Likely 1-4 people, at or below the 5-employee floor; not verified</t>
        </is>
      </c>
      <c r="O51" s="2" t="inlineStr">
        <is>
          <t>~2017 (site says about 9 years in business; not independently verified)</t>
        </is>
      </c>
      <c r="P51" s="2" t="inlineStr">
        <is>
          <t>Residential and small-business AC repair, installation, maintenance (per site service-area pages)</t>
        </is>
      </c>
      <c r="Q51" s="2" t="inlineStr"/>
      <c r="R51" s="2" t="inlineStr"/>
      <c r="S51" s="2" t="inlineStr"/>
      <c r="T51" s="2" t="inlineStr"/>
      <c r="U51" s="2" t="inlineStr"/>
      <c r="V51" s="2" t="inlineStr">
        <is>
          <t>https://www.snowflakesac.com/
https://www.snowflakesac.com/ac-repair-wilton-manors/</t>
        </is>
      </c>
    </row>
    <row r="52">
      <c r="A52" s="2" t="inlineStr">
        <is>
          <t>C</t>
        </is>
      </c>
      <c r="B52" s="2" t="inlineStr">
        <is>
          <t>Stud Air Conditioning</t>
        </is>
      </c>
      <c r="C52" s="2" t="inlineStr">
        <is>
          <t>Broward</t>
        </is>
      </c>
      <c r="D52" s="2" t="inlineStr">
        <is>
          <t>Tamarac</t>
        </is>
      </c>
      <c r="E52" s="2" t="inlineStr"/>
      <c r="F52" s="2" t="inlineStr"/>
      <c r="G52" s="2" t="inlineStr"/>
      <c r="H52" s="2" t="inlineStr">
        <is>
          <t>https://www.tamaracacrepair.com/ (second domain per Apollo: studairconditioning.com)</t>
        </is>
      </c>
      <c r="I52" s="2" t="inlineStr">
        <is>
          <t>Fits geography and the family-owned, owner-operated profile, and the license display shows the owner cares about compliance, but no phone, address, owner name, review count or size could be sourced, so it is plausible but thin.</t>
        </is>
      </c>
      <c r="J52" s="2" t="inlineStr">
        <is>
          <t>Marketing &amp; Website Makeover</t>
        </is>
      </c>
      <c r="K52" s="2" t="inlineStr">
        <is>
          <t>Web presence split across a keyword domain (tamaracacrepair.com) and a brand domain (studairconditioning.com); no phone number surfaced in snippets; no reviews or ratings surfaced on Yelp/Google/BBB; CAC18-series license number suggests a newer license (verify date on DBPR), consistent with a younger owner-operated shop</t>
        </is>
      </c>
      <c r="L52" s="2" t="inlineStr">
        <is>
          <t>low</t>
        </is>
      </c>
      <c r="M52" s="2" t="inlineStr">
        <is>
          <t>Independent, family-owned and operated (per site); owner not named in snippets</t>
        </is>
      </c>
      <c r="N52" s="2" t="inlineStr">
        <is>
          <t>Unknown; Apollo lists it in the 1-50 employee band; keyword-domain site suggests a very small shop</t>
        </is>
      </c>
      <c r="O52" s="2" t="inlineStr"/>
      <c r="P52" s="2" t="inlineStr">
        <is>
          <t>Full-service residential AC installation, maintenance and repair serving Tamarac and Coral Springs</t>
        </is>
      </c>
      <c r="Q52" s="2" t="inlineStr"/>
      <c r="R52" s="2" t="inlineStr">
        <is>
          <t>None detected in snippets</t>
        </is>
      </c>
      <c r="S52" s="2" t="inlineStr"/>
      <c r="T52" s="2" t="inlineStr"/>
      <c r="U52" s="2" t="inlineStr"/>
      <c r="V52" s="2" t="inlineStr">
        <is>
          <t>https://www.tamaracacrepair.com/
http://www.studairconditioning.com
https://www.yelp.com/search?find_desc=Hvac+Contractors&amp;find_loc=Tamarac%2C+FL</t>
        </is>
      </c>
    </row>
    <row r="53">
      <c r="A53" s="2" t="inlineStr">
        <is>
          <t>C</t>
        </is>
      </c>
      <c r="B53" s="2" t="inlineStr">
        <is>
          <t>Super Cool AC Repair</t>
        </is>
      </c>
      <c r="C53" s="2" t="inlineStr">
        <is>
          <t>Broward</t>
        </is>
      </c>
      <c r="D53" s="2" t="inlineStr">
        <is>
          <t>Fort Lauderdale</t>
        </is>
      </c>
      <c r="E53" s="2" t="inlineStr"/>
      <c r="F53" s="2" t="inlineStr"/>
      <c r="G53" s="2" t="inlineStr">
        <is>
          <t>(754) 444-8399</t>
        </is>
      </c>
      <c r="H53" s="2" t="inlineStr">
        <is>
          <t>supercoolacrepair.com</t>
        </is>
      </c>
      <c r="I53" s="2" t="inlineStr">
        <is>
          <t>Plausible Broward family shop but thin evidence: owner unnamed, address and founding date not captured, and the 13-review, directory-only footprint suggests a 1-3 person operation that may fall under the 5-employee minimum. Web research budget was exhausted before this company could be enriched; qualify size by phone.</t>
        </is>
      </c>
      <c r="J53" s="2" t="inlineStr">
        <is>
          <t>Marketing &amp; Website Makeover</t>
        </is>
      </c>
      <c r="K53" s="2" t="inlineStr">
        <is>
          <t>Only 13 Google reviews; online presence is mostly directory listings (Yelp, Manta, Hotfrog, chamberofcommerce.com) rather than its own site content; closed Sundays with no after-hours intake seen; no owner, street address, license number or booking option surfaced in search.</t>
        </is>
      </c>
      <c r="L53" s="2" t="inlineStr">
        <is>
          <t>low</t>
        </is>
      </c>
      <c r="M53" s="2" t="inlineStr">
        <is>
          <t>Appears independent / family-owned (Yelp and directory listings); not verified</t>
        </is>
      </c>
      <c r="N53" s="2" t="inlineStr">
        <is>
          <t>Likely 1-4 people (13 Google reviews, directory-only web footprint, closed Sundays) - probably below the 5-employee floor</t>
        </is>
      </c>
      <c r="O53" s="2" t="inlineStr"/>
      <c r="P53" s="2" t="inlineStr">
        <is>
          <t>Residential AC repair (Yelp category); full service list not captured</t>
        </is>
      </c>
      <c r="Q53" s="2" t="inlineStr">
        <is>
          <t>13 (per discovery pass)</t>
        </is>
      </c>
      <c r="R53" s="2" t="inlineStr"/>
      <c r="S53" s="2" t="inlineStr"/>
      <c r="T53" s="2" t="inlineStr"/>
      <c r="U53" s="2" t="inlineStr"/>
      <c r="V53" s="2" t="inlineStr">
        <is>
          <t>https://www.yelp.com/biz/super-cool-ac-repair-fort-lauderdale</t>
        </is>
      </c>
    </row>
    <row r="54">
      <c r="A54" s="2" t="inlineStr">
        <is>
          <t>C</t>
        </is>
      </c>
      <c r="B54" s="2" t="inlineStr">
        <is>
          <t>World Air HVAC</t>
        </is>
      </c>
      <c r="C54" s="2" t="inlineStr">
        <is>
          <t>Broward</t>
        </is>
      </c>
      <c r="D54" s="2" t="inlineStr">
        <is>
          <t>Tamarac</t>
        </is>
      </c>
      <c r="E54" s="2" t="inlineStr"/>
      <c r="F54" s="2" t="inlineStr"/>
      <c r="G54" s="2" t="inlineStr"/>
      <c r="H54" s="2" t="inlineStr">
        <is>
          <t>https://www.worldairhvac.com/</t>
        </is>
      </c>
      <c r="I54" s="2" t="inlineStr">
        <is>
          <t>Fits geography (Tamarac HQ, Broward) and profile (family-owned since 2005) with several website weak-systems signals, but evidence is thin: no phone, address, owner name or size could be sourced from snippets, so it needs a lookup call before an owner conversation.</t>
        </is>
      </c>
      <c r="J54" s="2" t="inlineStr">
        <is>
          <t>Marketing &amp; Website Makeover</t>
        </is>
      </c>
      <c r="K54" s="2" t="inlineStr">
        <is>
          <t>Template location pages (/locations/tamarac/, /locations/sunrise/) typical of an SEO vendor; no phone number surfaced in any search snippet across three queries; no CAC license number seen (neighbors Quality AC and Air Nifty show theirs in the same results); no Yelp/Google rating or review count surfaced anywhere; no BBB profile surfaced</t>
        </is>
      </c>
      <c r="L54" s="2" t="inlineStr">
        <is>
          <t>low</t>
        </is>
      </c>
      <c r="M54" s="2" t="inlineStr">
        <is>
          <t>Independent, family-owned (per About Us page); owner not named in snippets</t>
        </is>
      </c>
      <c r="N54" s="2" t="inlineStr">
        <is>
          <t>Unknown; no employee or truck count found</t>
        </is>
      </c>
      <c r="O54" s="2" t="inlineStr">
        <is>
          <t>2005</t>
        </is>
      </c>
      <c r="P54" s="2" t="inlineStr">
        <is>
          <t>Residential air conditioning and heating: repair, installation, maintenance; location pages for Tamarac and Sunrise</t>
        </is>
      </c>
      <c r="Q54" s="2" t="inlineStr"/>
      <c r="R54" s="2" t="inlineStr">
        <is>
          <t>None detected in snippets</t>
        </is>
      </c>
      <c r="S54" s="2" t="inlineStr"/>
      <c r="T54" s="2" t="inlineStr"/>
      <c r="U54" s="2" t="inlineStr"/>
      <c r="V54" s="2" t="inlineStr">
        <is>
          <t>https://www.worldairhvac.com/about-us/
https://worldairhvac.com/locations/tamarac/
https://worldairhvac.com/locations/sunrise/
https://www.worldairhvac.com/residential-air-conditioning-and-heating-tamarac-fl/</t>
        </is>
      </c>
    </row>
    <row r="55">
      <c r="A55" s="2" t="inlineStr">
        <is>
          <t>C</t>
        </is>
      </c>
      <c r="B55" s="2" t="inlineStr">
        <is>
          <t>Greg's Air Solutions LLC</t>
        </is>
      </c>
      <c r="C55" s="2" t="inlineStr">
        <is>
          <t>Palm Beach</t>
        </is>
      </c>
      <c r="D55" s="2" t="inlineStr">
        <is>
          <t>Boca Raton</t>
        </is>
      </c>
      <c r="E55" s="2" t="inlineStr">
        <is>
          <t>Gregor Casseus</t>
        </is>
      </c>
      <c r="F55" s="2" t="inlineStr">
        <is>
          <t>Manager (LLC)</t>
        </is>
      </c>
      <c r="G55" s="2" t="inlineStr">
        <is>
          <t>(954) 240-2540</t>
        </is>
      </c>
      <c r="H55" s="2" t="inlineStr">
        <is>
          <t>https://gregsairsolutions.com/ (duplicate second site: https://gregsairsolutionsac.com/)</t>
        </is>
      </c>
      <c r="I55" s="2" t="inlineStr">
        <is>
          <t>Borderline geography: HQ 1274 SW 16th Ave, Boca Raton (Palm Beach County), just over the Broward line, but Broward-facing (954 number, Hollywood/Southwest Ranches pages, serves Deerfield/Pompano). Strong owner-operator and weak-systems signals plus a named decision maker, which would be an A inside Broward. CareerSource Broward grant would not apply (Palm Beach employer). Call only if Ann will work 2 miles over the county line.</t>
        </is>
      </c>
      <c r="J55" s="2" t="inlineStr">
        <is>
          <t>Marketing &amp; Website Makeover</t>
        </is>
      </c>
      <c r="K55" s="2" t="inlineStr">
        <is>
          <t>Two near-identical websites (gregsairsolutions.com and gregsairsolutionsac.com) with templated city pages for Hollywood and Southwest Ranches; Gmail address instead of domain email; two different phone numbers (954 and 754) across listings; BBB profile filed under 'Electronics and Technology' rather than AC contractor (unmanaged listing); no CAC license number seen in any snippet; Yelp 4.7-4.8 with 100-110 reviews and ~20-minute response time suggests the owner personally handles Yelp; HQ is in Palm Beach County although phone is a Broward 954 number and landing pages target Broward cities</t>
        </is>
      </c>
      <c r="L55" s="2" t="inlineStr">
        <is>
          <t>medium</t>
        </is>
      </c>
      <c r="M55" s="2" t="inlineStr">
        <is>
          <t>Independent, owner-named family LLC (Gregor Casseus listed as Manager); no PE/franchise indicators</t>
        </is>
      </c>
      <c r="N55" s="2" t="inlineStr">
        <is>
          <t>Small; est. 2-5 trucks (inferred from ~110 Yelp reviews and owner answering Yelp in ~20 min; no employee count found)</t>
        </is>
      </c>
      <c r="O55" s="2" t="inlineStr"/>
      <c r="P55" s="2" t="inlineStr">
        <is>
          <t>Residential and light-commercial HVAC: AC repair, installation, maintenance, heating, duct cleaning, air-quality improvement; free estimates; hours Mon-Sat 8:00-6:30, closed Sunday</t>
        </is>
      </c>
      <c r="Q55" s="2" t="inlineStr"/>
      <c r="R55" s="2" t="inlineStr">
        <is>
          <t>None detected in snippets</t>
        </is>
      </c>
      <c r="S55" s="2" t="inlineStr"/>
      <c r="T55" s="2" t="inlineStr"/>
      <c r="U55" s="2" t="inlineStr">
        <is>
          <t>https://www.buildzoom.com/contractor/gregs-air-solutions-llc</t>
        </is>
      </c>
      <c r="V55" s="2" t="inlineStr">
        <is>
          <t>https://www.yelp.com/biz/gregs-air-solutions-boca-raton-8
https://www.bbb.org/us/fl/boca-raton/profile/electronics-and-technology/gregs-air-solutions-llc-0633-92052505
https://www.buildzoom.com/contractor/gregs-air-solutions-llc
https://www.zoominfo.com/c/gregs-air-solutions-llc/528052326
https://nextdoor.com/pages/gregs-air-solutions-boca-raton-fl/
https://www.yellowpages.com/boca-raton-fl/gregs-air-solutions-llc
https://gregsairsolutions.com/expert-air-conditioning-heating-ac-repair-in-southwest-ranches-fl/
https://gregsairsolutionsac.com/
https://www.yelp.com/search?find_desc=Air+Conditioning+Repair&amp;find_loc=Weston,+FL</t>
        </is>
      </c>
    </row>
    <row r="56">
      <c r="A56" s="2" t="inlineStr">
        <is>
          <t>C</t>
        </is>
      </c>
      <c r="B56" s="2" t="inlineStr">
        <is>
          <t>AC Power &amp; Comfort, Inc.</t>
        </is>
      </c>
      <c r="C56" s="2" t="inlineStr">
        <is>
          <t>Palm Beach</t>
        </is>
      </c>
      <c r="D56" s="2" t="inlineStr">
        <is>
          <t>Boynton Beach</t>
        </is>
      </c>
      <c r="E56" s="2" t="inlineStr">
        <is>
          <t>Omar Crespo-Calero</t>
        </is>
      </c>
      <c r="F56" s="2" t="inlineStr">
        <is>
          <t>Owner</t>
        </is>
      </c>
      <c r="G56" s="2" t="inlineStr"/>
      <c r="H56" s="2" t="inlineStr">
        <is>
          <t>https://acpowercomfort.com/</t>
        </is>
      </c>
      <c r="I56" s="2" t="inlineStr">
        <is>
          <t>Named owner, incorporated 2013 with 20+ years experience, commercial/industrial focus and an owner-in-the-field signal, but the headquarters is in Boynton Beach (Palm Beach County) rather than Broward, no phone number surfaced, and size is unknown. The discovery row listed Deerfield Beach only because of a landing page. Upgrade to B if Ann is open to Palm Beach and a phone is found; the CareerSource Broward grant would not apply (Palm Beach has its own CareerSource).</t>
        </is>
      </c>
      <c r="J56" s="2" t="inlineStr">
        <is>
          <t>Marketing &amp; Website Makeover</t>
        </is>
      </c>
      <c r="K56" s="2" t="inlineStr">
        <is>
          <t>Registered/HQ address is a residential street in Boynton Beach (Palm Beach County), not Broward, while the site runs a dozen Broward and Palm Beach city landing pages in an SEO-agency template; no phone number, Google rating or review count surfaced in any snippet; no CAC license number, maintenance-plan page or booking link seen; customer reviews name owner Omar as the one doing the work (owner still in the field).</t>
        </is>
      </c>
      <c r="L56" s="2" t="inlineStr">
        <is>
          <t>low</t>
        </is>
      </c>
      <c r="M56" s="2" t="inlineStr">
        <is>
          <t>Independent; owner Omar Crespo-Calero (named as Owner in search summary drawing on ZoomInfo/RocketReach and customer reviews)</t>
        </is>
      </c>
      <c r="N56" s="2" t="inlineStr">
        <is>
          <t>Unknown; ZoomInfo and RocketReach profiles exist; registered address on a residential street suggests a small owner-run shop without a storefront/office</t>
        </is>
      </c>
      <c r="O56" s="2" t="inlineStr">
        <is>
          <t>Florida corporation document P13000031957 indicates incorporation in 2013; site claims 'over 20 years of experience'</t>
        </is>
      </c>
      <c r="P56" s="2" t="inlineStr">
        <is>
          <t>Commercial, industrial and luxury-residential HVAC: installation, maintenance, repair, indoor air quality; 24/7; factory HVAC page; city pages for Deerfield Beach, Lighthouse Point, Fort Lauderdale, Dania Beach, Boca Raton, Palm Beach, Juno Beach, Lake Park, Loxahatchee</t>
        </is>
      </c>
      <c r="Q56" s="2" t="inlineStr"/>
      <c r="R56" s="2" t="inlineStr"/>
      <c r="S56" s="2" t="inlineStr"/>
      <c r="T56" s="2" t="inlineStr"/>
      <c r="U56" s="2" t="inlineStr">
        <is>
          <t>https://www.zoominfo.com/pic/ac-power--comfort-inc/398018016 (plus https://rocketreach.co/ac-power-comfort-profile_b455e8ebfc8bf504 and customer reviews quoted in the search summary; verify)</t>
        </is>
      </c>
      <c r="V56" s="2" t="inlineStr">
        <is>
          <t>https://acpowercomfort.com/
https://acpowercomfort.com/deerfield-beach/
https://acpowercomfort.com/commercial-air-conditioning/
https://acpowercomfort.com/juno-beach/
https://www.zoominfo.com/pic/ac-power--comfort-inc/398018016
https://rocketreach.co/ac-power-comfort-profile_b455e8ebfc8bf504
https://search.sunbiz.org/Inquiry/CorporationSearch/SearchResultDetail?inquirytype=EntityName&amp;directionType=CurrentList&amp;searchNameOrder=ACPOWERCOMFORT+P130000319570&amp;aggregateId=domp-p13000031957-56ea7da7-1121-47b5-b2c4-919c08423e8d&amp;searchTerm=A%2FC+POTIN%2CINC&amp;listNameOrder=ACPOTIN+P180000871800
Apollo.io organizations lookup (free tier): record 'AC Power &amp; Comfort', domain acpowercomfort.com</t>
        </is>
      </c>
    </row>
    <row r="57">
      <c r="A57" s="2" t="inlineStr">
        <is>
          <t>C</t>
        </is>
      </c>
      <c r="B57" s="2" t="inlineStr">
        <is>
          <t>Air 95</t>
        </is>
      </c>
      <c r="C57" s="2" t="inlineStr">
        <is>
          <t>Broward (unverified; 954 number and Hallandale Beach / Wilton Manors service pages)</t>
        </is>
      </c>
      <c r="D57" s="2" t="inlineStr"/>
      <c r="E57" s="2" t="inlineStr"/>
      <c r="F57" s="2" t="inlineStr"/>
      <c r="G57" s="2" t="inlineStr">
        <is>
          <t>(954) 827-9797</t>
        </is>
      </c>
      <c r="H57" s="2" t="inlineStr">
        <is>
          <t>https://air95ac.com/</t>
        </is>
      </c>
      <c r="I57" s="2" t="inlineStr">
        <is>
          <t>Possibly a Broward independent, but HQ city, owner, size, reviews and license are all unconfirmed. Verify on Google Maps that (954) 827-9797 is the number on their Google listing (if it differs, that is the tracking-number leak) and check Sunbiz for 'Air 95' before calling</t>
        </is>
      </c>
      <c r="J57" s="2" t="inlineStr">
        <is>
          <t>Marketing &amp; Website Makeover, provisional</t>
        </is>
      </c>
      <c r="K57" s="2" t="inlineStr">
        <is>
          <t>(1) Site is built as a stack of city landing pages (/ac-repair-hallandale-beach/), the usual footprint of an agency SEO package that often comes with a tracking phone number. Nothing else verified: web-search budget exhausted, WebFetch blocked, Apollo people search unavailable on this plan, Apollo org lookup empty for the domain</t>
        </is>
      </c>
      <c r="L57" s="2" t="inlineStr">
        <is>
          <t>low</t>
        </is>
      </c>
      <c r="M57" s="2" t="inlineStr">
        <is>
          <t>Unknown; no consolidator or franchise branding seen in the name/URL</t>
        </is>
      </c>
      <c r="N57" s="2" t="inlineStr"/>
      <c r="O57" s="2" t="inlineStr"/>
      <c r="P57" s="2" t="inlineStr">
        <is>
          <t>AC repair and related HVAC services (per city service pages for Hallandale Beach and Wilton Manors)</t>
        </is>
      </c>
      <c r="Q57" s="2" t="inlineStr"/>
      <c r="R57" s="2" t="inlineStr"/>
      <c r="S57" s="2" t="inlineStr"/>
      <c r="T57" s="2" t="inlineStr"/>
      <c r="U57" s="2" t="inlineStr"/>
      <c r="V57" s="2" t="inlineStr">
        <is>
          <t>https://air95ac.com/
https://air95ac.com/ac-repair-hallandale-beach/</t>
        </is>
      </c>
    </row>
    <row r="58">
      <c r="A58" s="2" t="inlineStr">
        <is>
          <t>C</t>
        </is>
      </c>
      <c r="B58" s="2" t="inlineStr">
        <is>
          <t>Cool Running Air</t>
        </is>
      </c>
      <c r="C58" s="2" t="inlineStr">
        <is>
          <t>Broward (unverified - HQ city not in snippets; markets Weston)</t>
        </is>
      </c>
      <c r="D58" s="2" t="inlineStr"/>
      <c r="E58" s="2" t="inlineStr"/>
      <c r="F58" s="2" t="inlineStr"/>
      <c r="G58" s="2" t="inlineStr"/>
      <c r="H58" s="2" t="inlineStr">
        <is>
          <t>coolrunningsair.com</t>
        </is>
      </c>
      <c r="I58" s="2" t="inlineStr">
        <is>
          <t>Plausible owner-operated Broward family shop (founded 2011, residential + light commercial) but evidence is thin: no phone, address, owner, review count, or license surfaced, so size and HQ are unconfirmed.</t>
        </is>
      </c>
      <c r="J58" s="2" t="inlineStr">
        <is>
          <t>Marketing &amp; Website Makeover</t>
        </is>
      </c>
      <c r="K58" s="2" t="inlineStr">
        <is>
          <t>Brand name 'Cool Running Air' does not match domain 'coolrunningsair.com' (customers searching the brand may miss the site); HQ address and phone do not surface in search snippets at all; no CAC license, reviews, or booking visible in snippets; only a city landing page surfaced</t>
        </is>
      </c>
      <c r="L58" s="2" t="inlineStr">
        <is>
          <t>low</t>
        </is>
      </c>
      <c r="M58" s="2" t="inlineStr">
        <is>
          <t>Independent; family-owned</t>
        </is>
      </c>
      <c r="N58" s="2" t="inlineStr">
        <is>
          <t>Likely 2-10 employees (family-owned, light-commercial focus) - not sourced</t>
        </is>
      </c>
      <c r="O58" s="2" t="inlineStr">
        <is>
          <t>2011</t>
        </is>
      </c>
      <c r="P58" s="2" t="inlineStr">
        <is>
          <t>Residential and light commercial AC/heating service, repair and installation (Weston service-area page)</t>
        </is>
      </c>
      <c r="Q58" s="2" t="inlineStr">
        <is>
          <t>Not sourced</t>
        </is>
      </c>
      <c r="R58" s="2" t="inlineStr"/>
      <c r="S58" s="2" t="inlineStr"/>
      <c r="T58" s="2" t="inlineStr"/>
      <c r="U58" s="2" t="inlineStr"/>
      <c r="V58" s="2" t="inlineStr">
        <is>
          <t>https://coolrunningsair.com/service-area/air-conditioning-heating-weston-fl/</t>
        </is>
      </c>
    </row>
    <row r="59">
      <c r="A59" s="2" t="inlineStr">
        <is>
          <t>C</t>
        </is>
      </c>
      <c r="B59" s="2" t="inlineStr">
        <is>
          <t>Instant HVAC Inc</t>
        </is>
      </c>
      <c r="C59" s="2" t="inlineStr">
        <is>
          <t>Broward (unverified; 954 number and Hallandale Beach service page)</t>
        </is>
      </c>
      <c r="D59" s="2" t="inlineStr"/>
      <c r="E59" s="2" t="inlineStr"/>
      <c r="F59" s="2" t="inlineStr"/>
      <c r="G59" s="2" t="inlineStr">
        <is>
          <t>(954) 858-5555</t>
        </is>
      </c>
      <c r="H59" s="2" t="inlineStr">
        <is>
          <t>https://instanthvacinc.com/</t>
        </is>
      </c>
      <c r="I59" s="2" t="inlineStr">
        <is>
          <t>Possibly a Broward independent, but HQ city, owner, size, reviews and license are all unconfirmed. Check Sunbiz for 'Instant HVAC Inc' (principal name and formation date) and Google Maps for rating/review count before calling</t>
        </is>
      </c>
      <c r="J59" s="2" t="inlineStr">
        <is>
          <t>Systems + AI Enablement (dispatch, booking and automated invoice follow-up), provisional</t>
        </is>
      </c>
      <c r="K59" s="2" t="inlineStr">
        <is>
          <t>(1) Advertises 24/7 certified techs, which for a small shop means after-hours calls land on the owner's phone and paperwork lags. (2) City-page site structure (/hallandale-beach-ac-repair/) suggests an agency SEO build. Nothing else verified: web-search budget exhausted, WebFetch blocked, Apollo people search unavailable on this plan, Apollo org lookup empty for the domain</t>
        </is>
      </c>
      <c r="L59" s="2" t="inlineStr">
        <is>
          <t>low</t>
        </is>
      </c>
      <c r="M59" s="2" t="inlineStr">
        <is>
          <t>Unknown; incorporated ('Inc') and no consolidator or franchise branding seen</t>
        </is>
      </c>
      <c r="N59" s="2" t="inlineStr"/>
      <c r="O59" s="2" t="inlineStr"/>
      <c r="P59" s="2" t="inlineStr">
        <is>
          <t>24/7 AC repair with certified technicians; likely install and maintenance (per Hallandale Beach service page)</t>
        </is>
      </c>
      <c r="Q59" s="2" t="inlineStr"/>
      <c r="R59" s="2" t="inlineStr"/>
      <c r="S59" s="2" t="inlineStr"/>
      <c r="T59" s="2" t="inlineStr"/>
      <c r="U59" s="2" t="inlineStr"/>
      <c r="V59" s="2" t="inlineStr">
        <is>
          <t>https://instanthvacinc.com/
https://instanthvacinc.com/hallandale-beach-ac-repair/</t>
        </is>
      </c>
    </row>
    <row r="60">
      <c r="A60" s="2" t="inlineStr">
        <is>
          <t>C</t>
        </is>
      </c>
      <c r="B60" s="2" t="inlineStr">
        <is>
          <t>SJS Mechanical</t>
        </is>
      </c>
      <c r="C60" s="2" t="inlineStr">
        <is>
          <t>Broward (unverified)</t>
        </is>
      </c>
      <c r="D60" s="2" t="inlineStr"/>
      <c r="E60" s="2" t="inlineStr"/>
      <c r="F60" s="2" t="inlineStr"/>
      <c r="G60" s="2" t="inlineStr"/>
      <c r="H60" s="2" t="inlineStr">
        <is>
          <t>https://www.sjs-mechanical.com/</t>
        </is>
      </c>
      <c r="I60" s="2" t="inlineStr">
        <is>
          <t>Family-owned 40+ years and serving Coconut Creek fits the profile, but the headquarters city is unconfirmed (could be outside Broward), and no phone, owner, size, license or reviews surfaced; no Apollo record. Needs a phone and HQ check before it is callable.</t>
        </is>
      </c>
      <c r="J60" s="2" t="inlineStr">
        <is>
          <t>Marketing &amp; Website Makeover</t>
        </is>
      </c>
      <c r="K60" s="2" t="inlineStr">
        <is>
          <t>Website page title is just 'HVAC Services' with no company name or city (basic SEO miss); HQ city, phone, owner, CAC license number, reviews, maintenance plan and booking link did not surface in any snippet; no Apollo record.</t>
        </is>
      </c>
      <c r="L60" s="2" t="inlineStr">
        <is>
          <t>low</t>
        </is>
      </c>
      <c r="M60" s="2" t="inlineStr">
        <is>
          <t>Independent; family-owned 40+ years (site copy via search summary)</t>
        </is>
      </c>
      <c r="N60" s="2" t="inlineStr">
        <is>
          <t>Unknown; no employee count or team page surfaced</t>
        </is>
      </c>
      <c r="O60" s="2" t="inlineStr">
        <is>
          <t>Family-owned for over 40 years per site copy; exact year not shown</t>
        </is>
      </c>
      <c r="P60" s="2" t="inlineStr">
        <is>
          <t>AC repair and HVAC services; serves Coconut Creek (site copy via search summary)</t>
        </is>
      </c>
      <c r="Q60" s="2" t="inlineStr"/>
      <c r="R60" s="2" t="inlineStr"/>
      <c r="S60" s="2" t="inlineStr"/>
      <c r="T60" s="2" t="inlineStr"/>
      <c r="U60" s="2" t="inlineStr"/>
      <c r="V60" s="2" t="inlineStr">
        <is>
          <t>https://www.sjs-mechanical.com/
Apollo.io organizations lookup (free tier): no record found by domain or fuzzy name</t>
        </is>
      </c>
    </row>
    <row r="61">
      <c r="A61" s="2" t="inlineStr">
        <is>
          <t>X</t>
        </is>
      </c>
      <c r="B61" s="2" t="inlineStr">
        <is>
          <t>ACTL Group, LLC</t>
        </is>
      </c>
      <c r="C61" s="2" t="inlineStr">
        <is>
          <t>Miami-Dade</t>
        </is>
      </c>
      <c r="D61" s="2" t="inlineStr">
        <is>
          <t>Hialeah</t>
        </is>
      </c>
      <c r="E61" s="2" t="inlineStr">
        <is>
          <t>Osmany Fernandez</t>
        </is>
      </c>
      <c r="F61" s="2" t="inlineStr">
        <is>
          <t>President &amp; Owner</t>
        </is>
      </c>
      <c r="G61" s="2" t="inlineStr"/>
      <c r="H61" s="2" t="inlineStr">
        <is>
          <t>https://actlgroup.com/</t>
        </is>
      </c>
      <c r="I61" s="2" t="inlineStr">
        <is>
          <t>Not a fit for this list: headquartered at 4735 Palm Ave, Hialeah (Miami-Dade), not Broward, and the core business is mid/high-rise new-construction mechanical work rather than owner-operated service and replacement. Named owner and family ownership make it a candidate for a future Miami-Dade list, not Monday's Broward calls.</t>
        </is>
      </c>
      <c r="J61" s="2" t="inlineStr">
        <is>
          <t>Not a fit</t>
        </is>
      </c>
      <c r="K61" s="2" t="inlineStr">
        <is>
          <t>Homepage title is 'HVAC Companies Miami'; Broward city pages (Sunrise, Davie, Weston, Tamarac, Southwest Ranches, Miramar, Dania Beach) all carry the one-word page title 'HVAC' (unoptimized template); no phone number surfaced in any snippet; BBB profile exists under Hialeah; Yelp listing shows 31 photos but no rating/review count surfaced</t>
        </is>
      </c>
      <c r="L61" s="2" t="inlineStr">
        <is>
          <t>medium</t>
        </is>
      </c>
      <c r="M61" s="2" t="inlineStr">
        <is>
          <t>Independent family-owned LLC; president/owner Osmany Fernandez</t>
        </is>
      </c>
      <c r="N61" s="2" t="inlineStr">
        <is>
          <t>Unknown; Apollo-indexed in the 1-50 employee range; new-construction high-rise work implies a commercial crew</t>
        </is>
      </c>
      <c r="O61" s="2" t="inlineStr">
        <is>
          <t>2010 (family-owned since 2010; owner cites 30+ years industry experience)</t>
        </is>
      </c>
      <c r="P61" s="2" t="inlineStr">
        <is>
          <t>Commercial and residential AC and refrigeration: mid- and high-rise new-construction mechanical, repairs and installs, heat pumps, rooftop units, water systems, mini splits; serves Miami-Dade and Broward</t>
        </is>
      </c>
      <c r="Q61" s="2" t="inlineStr"/>
      <c r="R61" s="2" t="inlineStr">
        <is>
          <t>None detected in snippets</t>
        </is>
      </c>
      <c r="S61" s="2" t="inlineStr"/>
      <c r="T61" s="2" t="inlineStr"/>
      <c r="U61" s="2" t="inlineStr">
        <is>
          <t>https://actlgroup.com/about-us/</t>
        </is>
      </c>
      <c r="V61" s="2" t="inlineStr">
        <is>
          <t>https://www.bbb.org/us/fl/hialeah/profile/air-conditioning-contractor/actl-group-llc-0633-90251114
https://www.yelp.com/biz/actl-group-hialeah
https://actlgroup.com/about-us/
https://actlgroup.com/
https://actlgroup.com/ac-service-sunrise/
https://actlgroup.com/ac-service-miramar/
https://www.facebook.com/ACTL-GROUP-LLC-105179017539547/
https://www.instagram.com/actlgroupairconditioning/</t>
        </is>
      </c>
    </row>
  </sheetData>
  <autoFilter ref="A1:V61"/>
  <conditionalFormatting sqref="A2:V61">
    <cfRule type="expression" priority="1" dxfId="0">
      <formula>$A2="A"</formula>
    </cfRule>
    <cfRule type="expression" priority="2" dxfId="1">
      <formula>$A2="B"</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6" customWidth="1" min="1" max="1"/>
    <col width="12" customWidth="1" min="2" max="2"/>
    <col width="26" customWidth="1" min="3" max="3"/>
    <col width="70" customWidth="1" min="4" max="4"/>
    <col width="70" customWidth="1" min="5" max="5"/>
  </cols>
  <sheetData>
    <row r="1" ht="32" customHeight="1">
      <c r="A1" s="1" t="inlineStr">
        <is>
          <t>Company</t>
        </is>
      </c>
      <c r="B1" s="1" t="inlineStr">
        <is>
          <t>County</t>
        </is>
      </c>
      <c r="C1" s="1" t="inlineStr">
        <is>
          <t>Website</t>
        </is>
      </c>
      <c r="D1" s="1" t="inlineStr">
        <is>
          <t>Status / History</t>
        </is>
      </c>
      <c r="E1" s="1" t="inlineStr">
        <is>
          <t>Monday Action</t>
        </is>
      </c>
    </row>
    <row r="2">
      <c r="A2" s="2" t="inlineStr">
        <is>
          <t>Bee Cool Air Conditioning</t>
        </is>
      </c>
      <c r="B2" s="2" t="inlineStr">
        <is>
          <t>Broward</t>
        </is>
      </c>
      <c r="C2" s="2" t="inlineStr">
        <is>
          <t>beecoolair.com</t>
        </is>
      </c>
      <c r="D2" s="2" t="inlineStr">
        <is>
          <t>ACTIVE PROPOSAL (sent 9/25, follow-up 10/2) - do not cold call; Nick Harrypersad (President), Chelsea Kong (Office Mgr) 954-681-6714</t>
        </is>
      </c>
      <c r="E2" s="2" t="inlineStr">
        <is>
          <t>Do NOT cold call. Confirm the Mon Oct 5 Google Meet (10am or 6pm) and bring the 3 clarifying questions.</t>
        </is>
      </c>
    </row>
    <row r="3">
      <c r="A3" s="2" t="inlineStr">
        <is>
          <t>Florida Mechanical &amp; Building Solutions (FMBS)</t>
        </is>
      </c>
      <c r="B3" s="2" t="inlineStr">
        <is>
          <t>Broward</t>
        </is>
      </c>
      <c r="C3" s="2" t="inlineStr">
        <is>
          <t>fmbsac.com</t>
        </is>
      </c>
      <c r="D3" s="2" t="inlineStr">
        <is>
          <t>PAST CLIENT / case study - Cornel Peart, Maurice Webb, Kimroy Turner; (954) 797-6061; ask for referrals + testimonial</t>
        </is>
      </c>
      <c r="E3" s="2" t="inlineStr">
        <is>
          <t>Call Cornel/Maurice/Kimroy: ask for a 2-line testimonial + 2 referrals to AC owners they know. Offer to write it for them.</t>
        </is>
      </c>
    </row>
    <row r="4">
      <c r="A4" s="2" t="inlineStr">
        <is>
          <t>Paradise Plumbing, Air &amp; Electric</t>
        </is>
      </c>
      <c r="B4" s="2" t="inlineStr">
        <is>
          <t>Broward</t>
        </is>
      </c>
      <c r="C4" s="2" t="inlineStr">
        <is>
          <t>paradiseplumbingandac.com</t>
        </is>
      </c>
      <c r="D4" s="2" t="inlineStr">
        <is>
          <t>Notion Tier 1 prospect - Matthew Rich, President; 954-563-0110; never contacted</t>
        </is>
      </c>
      <c r="E4" s="2" t="inlineStr">
        <is>
          <t>Call. Named owner known. Lead with the FMBS story; ask for a 20-min Leak Check.</t>
        </is>
      </c>
    </row>
    <row r="5">
      <c r="A5" s="2" t="inlineStr">
        <is>
          <t>Art Plumbing, AC &amp; Electric</t>
        </is>
      </c>
      <c r="B5" s="2" t="inlineStr">
        <is>
          <t>Broward</t>
        </is>
      </c>
      <c r="C5" s="2" t="inlineStr">
        <is>
          <t>artplumbingandac.com</t>
        </is>
      </c>
      <c r="D5" s="2" t="inlineStr">
        <is>
          <t>Notion Tier 2 prospect - draft email exists, no named contact; (954) 752-1282; ~70-100 employees</t>
        </is>
      </c>
      <c r="E5" s="2" t="inlineStr">
        <is>
          <t>Call the office line; ask who runs operations/training. Large shop: pitch Team Training (grant) first.</t>
        </is>
      </c>
    </row>
    <row r="6">
      <c r="A6" s="2" t="inlineStr">
        <is>
          <t>Pyke Mechanical Inc</t>
        </is>
      </c>
      <c r="B6" s="2" t="inlineStr">
        <is>
          <t>Miami-Dade</t>
        </is>
      </c>
      <c r="C6" s="2" t="inlineStr">
        <is>
          <t>pykemechanical.com</t>
        </is>
      </c>
      <c r="D6" s="2" t="inlineStr">
        <is>
          <t>Cold emailed 6/18, 6/22, 8/18 - no reply (Chantal)</t>
        </is>
      </c>
      <c r="E6" s="2" t="inlineStr">
        <is>
          <t>Call: "I emailed in June about AI training; that was the wrong pitch. What I actually do is rebuild the office systems..."</t>
        </is>
      </c>
    </row>
    <row r="7">
      <c r="A7" s="2" t="inlineStr">
        <is>
          <t>Best Air Solutions</t>
        </is>
      </c>
      <c r="B7" s="2" t="inlineStr">
        <is>
          <t>Broward</t>
        </is>
      </c>
      <c r="C7" s="2" t="inlineStr">
        <is>
          <t>bestairsolutions.com</t>
        </is>
      </c>
      <c r="D7" s="2" t="inlineStr">
        <is>
          <t>Cold emailed 6/18, 6/22 - no reply</t>
        </is>
      </c>
      <c r="E7" s="2" t="inlineStr">
        <is>
          <t>Call: "I emailed in June about AI training; that was the wrong pitch. What I actually do is rebuild the office systems..."</t>
        </is>
      </c>
    </row>
    <row r="8">
      <c r="A8" s="2" t="inlineStr">
        <is>
          <t>Coastal Comfort Inc</t>
        </is>
      </c>
      <c r="B8" s="2" t="inlineStr">
        <is>
          <t>Broward</t>
        </is>
      </c>
      <c r="C8" s="2" t="inlineStr">
        <is>
          <t>coastalcomfortinc.com</t>
        </is>
      </c>
      <c r="D8" s="2" t="inlineStr">
        <is>
          <t>Cold email 6/22 bounced</t>
        </is>
      </c>
      <c r="E8" s="2" t="inlineStr">
        <is>
          <t>Email never arrived. Phone is the only touch they have had. Call fresh.</t>
        </is>
      </c>
    </row>
    <row r="9">
      <c r="A9" s="2" t="inlineStr">
        <is>
          <t>Total Repair Pros</t>
        </is>
      </c>
      <c r="B9" s="2" t="inlineStr">
        <is>
          <t>Broward</t>
        </is>
      </c>
      <c r="C9" s="2" t="inlineStr">
        <is>
          <t>totalrepairpros.com</t>
        </is>
      </c>
      <c r="D9" s="2" t="inlineStr">
        <is>
          <t>Cold emailed 6/22 - no reply</t>
        </is>
      </c>
      <c r="E9" s="2" t="inlineStr">
        <is>
          <t>Call: "I emailed in June about AI training; that was the wrong pitch. What I actually do is rebuild the office systems..."</t>
        </is>
      </c>
    </row>
    <row r="10">
      <c r="A10" s="2" t="inlineStr">
        <is>
          <t>Air One HVAC</t>
        </is>
      </c>
      <c r="B10" s="2" t="inlineStr">
        <is>
          <t>Broward</t>
        </is>
      </c>
      <c r="C10" s="2" t="inlineStr">
        <is>
          <t>aironehvac.com</t>
        </is>
      </c>
      <c r="D10" s="2" t="inlineStr">
        <is>
          <t>Cold emailed 6/22 - no reply</t>
        </is>
      </c>
      <c r="E10" s="2" t="inlineStr">
        <is>
          <t>Call: "I emailed in June about AI training; that was the wrong pitch. What I actually do is rebuild the office systems..."</t>
        </is>
      </c>
    </row>
    <row r="11">
      <c r="A11" s="2" t="inlineStr">
        <is>
          <t>T&amp;S Cool Air</t>
        </is>
      </c>
      <c r="B11" s="2" t="inlineStr">
        <is>
          <t>Broward</t>
        </is>
      </c>
      <c r="C11" s="2" t="inlineStr">
        <is>
          <t>tscoolair.com</t>
        </is>
      </c>
      <c r="D11" s="2" t="inlineStr">
        <is>
          <t>Cold emailed 6/22 - no reply</t>
        </is>
      </c>
      <c r="E11" s="2" t="inlineStr">
        <is>
          <t>Call: "I emailed in June about AI training; that was the wrong pitch. What I actually do is rebuild the office systems..."</t>
        </is>
      </c>
    </row>
    <row r="12">
      <c r="A12" s="2" t="inlineStr">
        <is>
          <t>Climate Masters</t>
        </is>
      </c>
      <c r="B12" s="2" t="inlineStr">
        <is>
          <t>Broward</t>
        </is>
      </c>
      <c r="C12" s="2" t="inlineStr">
        <is>
          <t>climatemasters.com</t>
        </is>
      </c>
      <c r="D12" s="2" t="inlineStr">
        <is>
          <t>Cold email 6/22 bounced</t>
        </is>
      </c>
      <c r="E12" s="2" t="inlineStr">
        <is>
          <t>Email never arrived. Phone is the only touch they have had. Call fresh.</t>
        </is>
      </c>
    </row>
    <row r="13">
      <c r="A13" s="2" t="inlineStr">
        <is>
          <t>MARS Contractors</t>
        </is>
      </c>
      <c r="B13" s="2" t="inlineStr">
        <is>
          <t>Broward</t>
        </is>
      </c>
      <c r="C13" s="2" t="inlineStr">
        <is>
          <t>marscontractors.com</t>
        </is>
      </c>
      <c r="D13" s="2" t="inlineStr">
        <is>
          <t>Cold emailed 6/22 (Marcus) - no reply</t>
        </is>
      </c>
      <c r="E13" s="2" t="inlineStr">
        <is>
          <t>Call: "I emailed in June about AI training; that was the wrong pitch. What I actually do is rebuild the office systems..."</t>
        </is>
      </c>
    </row>
    <row r="14">
      <c r="A14" s="2" t="inlineStr">
        <is>
          <t>Prime Time Cooling</t>
        </is>
      </c>
      <c r="B14" s="2" t="inlineStr">
        <is>
          <t>Broward</t>
        </is>
      </c>
      <c r="C14" s="2" t="inlineStr">
        <is>
          <t>primetimecooling.com</t>
        </is>
      </c>
      <c r="D14" s="2" t="inlineStr">
        <is>
          <t>Cold email 6/22 bounced (bad address)</t>
        </is>
      </c>
      <c r="E14" s="2" t="inlineStr">
        <is>
          <t>Email never arrived. Phone is the only touch they have had. Call fresh.</t>
        </is>
      </c>
    </row>
    <row r="15">
      <c r="A15" s="2" t="inlineStr">
        <is>
          <t>Alef Synergy Mechanical</t>
        </is>
      </c>
      <c r="B15" s="2" t="inlineStr">
        <is>
          <t>Broward</t>
        </is>
      </c>
      <c r="C15" s="2" t="inlineStr">
        <is>
          <t>airam-mcc.com</t>
        </is>
      </c>
      <c r="D15" s="2" t="inlineStr">
        <is>
          <t>Cold emailed 6/22 - no reply</t>
        </is>
      </c>
      <c r="E15" s="2" t="inlineStr">
        <is>
          <t>Call: "I emailed in June about AI training; that was the wrong pitch. What I actually do is rebuild the office systems..."</t>
        </is>
      </c>
    </row>
    <row r="16">
      <c r="A16" s="2" t="inlineStr">
        <is>
          <t>Exact Air</t>
        </is>
      </c>
      <c r="B16" s="2" t="inlineStr">
        <is>
          <t>Broward</t>
        </is>
      </c>
      <c r="C16" s="2" t="inlineStr">
        <is>
          <t>exactair.com</t>
        </is>
      </c>
      <c r="D16" s="2" t="inlineStr">
        <is>
          <t>Cold email 6/22 bounced (domain not found)</t>
        </is>
      </c>
      <c r="E16" s="2" t="inlineStr">
        <is>
          <t>Email never arrived. Phone is the only touch they have had. Call fresh.</t>
        </is>
      </c>
    </row>
    <row r="17">
      <c r="A17" s="2" t="inlineStr">
        <is>
          <t>Douglas Orr Plumbing</t>
        </is>
      </c>
      <c r="B17" s="2" t="inlineStr">
        <is>
          <t>Miami-Dade</t>
        </is>
      </c>
      <c r="C17" s="2" t="inlineStr">
        <is>
          <t>orrplumbing.com</t>
        </is>
      </c>
      <c r="D17" s="2" t="inlineStr">
        <is>
          <t>In HubSpot; emailed 8/4 (Marcus) - plumbing-only, no reply</t>
        </is>
      </c>
      <c r="E17" s="2" t="inlineStr">
        <is>
          <t>Call: "I emailed in June about AI training; that was the wrong pitch. What I actually do is rebuild the office systems..."</t>
        </is>
      </c>
    </row>
  </sheetData>
  <autoFilter ref="A1:E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48" customWidth="1" min="2" max="2"/>
    <col width="44" customWidth="1" min="3" max="3"/>
    <col width="26" customWidth="1" min="4" max="4"/>
    <col width="22" customWidth="1" min="5" max="5"/>
    <col width="48" customWidth="1" min="6" max="6"/>
  </cols>
  <sheetData>
    <row r="1" ht="32" customHeight="1">
      <c r="A1" s="1" t="inlineStr">
        <is>
          <t>HVAC Owner Pain Point</t>
        </is>
      </c>
      <c r="B1" s="1" t="inlineStr">
        <is>
          <t>Evidence / Numbers</t>
        </is>
      </c>
      <c r="C1" s="1" t="inlineStr">
        <is>
          <t>What Ann Fixes</t>
        </is>
      </c>
      <c r="D1" s="1" t="inlineStr">
        <is>
          <t>Offer</t>
        </is>
      </c>
      <c r="E1" s="1" t="inlineStr">
        <is>
          <t>Price Anchor</t>
        </is>
      </c>
      <c r="F1" s="1" t="inlineStr">
        <is>
          <t>Phone Hook</t>
        </is>
      </c>
    </row>
    <row r="2">
      <c r="A2" s="2" t="inlineStr">
        <is>
          <t>Missed and after-hours calls ("I'm on a roof, I can't answer")</t>
        </is>
      </c>
      <c r="B2" s="2" t="inlineStr">
        <is>
          <t>Avg shop misses ~27% of inbound calls, 35%+ in peak; 2-5 person shops miss 55-65% (CallJolt). 85% of voicemail callers never call back. Each missed call = $300-$1,200 ticket or an $8K-15K replacement lead. $45K-$120K/yr lost per $0.5-2M shop (vendor-sourced).</t>
        </is>
      </c>
      <c r="C2" s="2" t="inlineStr">
        <is>
          <t>Call-handling rules and coverage, missed-call text-back, CSR booking script (trained CSRs book ~90% vs 42% untrained), booking that lands on the schedule in Housecall Pro / Jobber / ServiceTitan.</t>
        </is>
      </c>
      <c r="D2" s="2" t="inlineStr">
        <is>
          <t>Leak Check finds it (free) -&gt; Ops Audit ($2,500) -&gt; Systems + AI Enablement ($4,500 + $750/mo)</t>
        </is>
      </c>
      <c r="E2" s="2" t="inlineStr">
        <is>
          <t>One recovered install (~$10K ticket) pays for the whole setup.</t>
        </is>
      </c>
      <c r="F2" s="2" t="inlineStr">
        <is>
          <t>"What happens to a call at 7pm on a Friday at your shop? Most owners I check are losing 10 calls a week they never knew about."</t>
        </is>
      </c>
    </row>
    <row r="3">
      <c r="A3" s="2" t="inlineStr">
        <is>
          <t>Estimates never followed up; change orders never billed ("We did the work, we just never wrote it up")</t>
        </is>
      </c>
      <c r="B3" s="2" t="inlineStr">
        <is>
          <t>Residential close rates run 38-45% vs 55-65% for top shops; ~70% of quoted work walks. Most shops follow up once or never; 80% of sales need 5+ touches. SMS follow-up gets 45-55% response vs 20-30% for calls. 'If unpaid changes occur in a tight market, it can eliminate any profit' (Mike Holt forum).</t>
        </is>
      </c>
      <c r="C3" s="2" t="inlineStr">
        <is>
          <t>Estimate pipeline inside the software they already pay for, 4-touch follow-up (day 1/3/7/14) drafted by AI and approved by a human, written change-order rule ('no signature, no change'), job-by-job profitability in QuickBooks.</t>
        </is>
      </c>
      <c r="D3" s="2" t="inlineStr">
        <is>
          <t>Ops Audit ($2,500) -&gt; Systems + AI Enablement ($4,500 + $750/mo)</t>
        </is>
      </c>
      <c r="E3" s="2" t="inlineStr">
        <is>
          <t>A 10-point close-rate lift is worth ~$28K/month to a mid-size shop (Hatch, vendor-sourced).</t>
        </is>
      </c>
      <c r="F3" s="2" t="inlineStr">
        <is>
          <t>"You quoted $80K last month and closed $24K. Who called the other $56K back?"</t>
        </is>
      </c>
    </row>
    <row r="4">
      <c r="A4" s="2" t="inlineStr">
        <is>
          <t>Owner is the bottleneck; spouse does the books; software bought but not implemented ("I'm paying for a database I will never use")</t>
        </is>
      </c>
      <c r="B4" s="2" t="inlineStr">
        <is>
          <t>61% of HVAC shops have field-service software but ServiceTitan's Sept 2026 report says the shift is 'from adoption to implementation'. 47% of trade contractors still estimate on paper/spreadsheets. 'The integration with QuickBooks is a daily challenge' (Housecall Pro reviews). Duplicate customers are the #1 HCP-to-QuickBooks sync failure.</t>
        </is>
      </c>
      <c r="C4" s="2" t="inlineStr">
        <is>
          <t>Exactly the FMBS rebuild: right managers over the right parts of the business, roles written down, Housecall Pro / Jobber / ServiceTitan configured and actually used, QuickBooks sync cleaned up, purchase orders and inventory, permit/inspection tracker, SOPs and training so the owner can leave the phone.</t>
        </is>
      </c>
      <c r="D4" s="2" t="inlineStr">
        <is>
          <t>Ops Audit &amp; Roadmap ($2,500, 3 weeks) -&gt; Systems + AI Enablement ($4,500 + $750/mo) -&gt; optional fractional ops retainer ($3,000/mo)</t>
        </is>
      </c>
      <c r="E4" s="2" t="inlineStr">
        <is>
          <t>Fractional COO firms charge $3K-$6K/mo virtual; Nexstar-type coaching $1.2K-$4.8K/mo with no implementation. She is local, on-site, and builds it.</t>
        </is>
      </c>
      <c r="F4" s="2" t="inlineStr">
        <is>
          <t>"Two years ago FMBS in Pompano was three companies merging with no system. We put managers in the right seats and built booking, permits and inventory. They hit their five-year numbers in two."</t>
        </is>
      </c>
    </row>
    <row r="5">
      <c r="A5" s="2" t="inlineStr">
        <is>
          <t>Can't hire or keep techs; new hires take months to be billable ("Can't find good help")</t>
        </is>
      </c>
      <c r="B5" s="2" t="inlineStr">
        <is>
          <t>52% of contractors cite skilled-labor shortage as the top headwind; 86% say lack of qualified candidates is the biggest hiring problem. Tech turnover 20-35%/yr; replacement cost $15-25K; 6-12 months to full productivity. PE platforms (Wrench/Lindstrom, Seacoast, Apex) outbid independents and push quota culture; Air Pros USA went Chapter 11 in March 2025.</t>
        </is>
      </c>
      <c r="C5" s="2" t="inlineStr">
        <is>
          <t>Onboarding path and ride-along curriculum, written SOPs, pay bands and career ladder, manager coaching (the FMBS hiring/training work), plus grant-funded half-day workshops for the office and techs.</t>
        </is>
      </c>
      <c r="D5" s="2" t="inlineStr">
        <is>
          <t>Ops Audit ($2,500) -&gt; Team Training: Frontline $500/person, Managers $750/person; CareerSource Broward reimburses up to 90% of the training line</t>
        </is>
      </c>
      <c r="E5" s="2" t="inlineStr">
        <is>
          <t>15-person frontline cohort = $7,500, company pays ~$750 after the Broward grant. Only the training line is grant-eligible; keep it invoiced separately and under $10,000.</t>
        </is>
      </c>
      <c r="F5" s="2" t="inlineStr">
        <is>
          <t>"You can't hire another tech this quarter. But I can get the ones you have 20% more billable hours and get Broward to pay 90% of the training."</t>
        </is>
      </c>
    </row>
    <row r="6">
      <c r="A6" s="2" t="inlineStr">
        <is>
          <t>Marketing agency burn and weak web presence ("Last guy took $15K and I got nothing")</t>
        </is>
      </c>
      <c r="B6" s="2" t="inlineStr">
        <is>
          <t>91% of homeowners check reviews first; 68% only use 4+ star businesses; the Map 3-pack takes 44% of local clicks. Angi leads $25-75 shared 3-8 ways; LSA $50-120/lead in Miami/Palm Beach; 69% say lead quality fell in 2025. 'Out of over 20 leads only 1 person actually submitted the request' (Trustpilot). Bee Cool: agency counting existing customers as new leads; a prior agency's AI misuse got them delisted from Google for two months.</t>
        </is>
      </c>
      <c r="C6" s="2" t="inlineStr">
        <is>
          <t>Website that books (widget tied to their software), reviews on the site, review-request engine after every job, maintenance-plan page, real photos/video of the crew, honest reporting, agency replaced or held to a number.</t>
        </is>
      </c>
      <c r="D6" s="2" t="inlineStr">
        <is>
          <t>Marketing &amp; Website Makeover ($3,500 + media) or New Service &amp; Website Launch (Bee Cool Phase 3)</t>
        </is>
      </c>
      <c r="E6" s="2" t="inlineStr">
        <is>
          <t>Contractor sites run $5K-$12K custom; agencies $1K-$3K/mo. She fixes the leak first so leads stop dying on the phone.</t>
        </is>
      </c>
      <c r="F6" s="2" t="inlineStr">
        <is>
          <t>"Your competitor two miles away has 400 reviews to your 60 and answers every one. That is most of why they outrank you on Maps."</t>
        </is>
      </c>
    </row>
    <row r="7">
      <c r="A7" s="2" t="inlineStr">
        <is>
          <t>Florida compliance exposure: license number missing from website, Google profile, social, trucks</t>
        </is>
      </c>
      <c r="B7" s="2" t="inlineStr">
        <is>
          <t>F.S. 489.119(5)(b): the CAC number must appear in every advertisement 'regardless of medium' and on vehicles. First offense = notice of noncompliance, 30 days to cure, then citation (~$100-$500); repeat matters go to DBPR complaint. Bee Cool's site was missing it.</t>
        </is>
      </c>
      <c r="C7" s="2" t="inlineStr">
        <is>
          <t>Free 15-minute License &amp; Listing Scan: website, Google Business Profile, social, trucks checked; one-page fix list. Instant credibility: the owner can verify the finding in 30 seconds.</t>
        </is>
      </c>
      <c r="D7" s="2" t="inlineStr">
        <is>
          <t>Free scan (door-opener) -&gt; Marketing &amp; Website Makeover or bundled into the Ops Audit</t>
        </is>
      </c>
      <c r="E7" s="2" t="inlineStr">
        <is>
          <t>Costs nothing to deliver; most 2-15 truck shops fail it.</t>
        </is>
      </c>
      <c r="F7" s="2" t="inlineStr">
        <is>
          <t>"Before I called I looked at your site. Your CAC number isn't on it, and in Florida that's a 489.119 citation waiting to happen. I'll send you the one-page fix list either way."</t>
        </is>
      </c>
    </row>
    <row r="8">
      <c r="A8" s="2" t="inlineStr">
        <is>
          <t>Shoulder-season cash crunch; thin maintenance-agreement base ("Shoulder season is a liquidity crisis")</t>
        </is>
      </c>
      <c r="B8" s="2" t="inlineStr">
        <is>
          <t>40% of HVAC owners name cash flow their top challenge; spring/fall volume drops 30-40% with flat overhead. Benchmark maintenance agreements at 20-30% of revenue at 40-60% gross margin. Minimum wage hits $15 on Sept 30, 2026; equipment up 15-25% in 2026; A2L tooling $2-5K per truck.</t>
        </is>
      </c>
      <c r="C8" s="2" t="inlineStr">
        <is>
          <t>Maintenance-plan program design, tech pitch and renewal process, customer-list reactivation campaigns (AI-drafted, human-sent), 12-month operating targets and the 5-year plan.</t>
        </is>
      </c>
      <c r="D8" s="2" t="inlineStr">
        <is>
          <t>Ops Audit &amp; Roadmap ($2,500) -&gt; Systems + AI Enablement ($4,500 + $750/mo); Strategic Planning Day ($4,000) after the first quarter</t>
        </is>
      </c>
      <c r="E8" s="2" t="inlineStr">
        <is>
          <t>Maintenance agreements are the single biggest valuation and seasonality lever and need no new software spend.</t>
        </is>
      </c>
      <c r="F8" s="2" t="inlineStr">
        <is>
          <t>"Calls drop 40% in shoulder season but your overhead doesn't. Your customer list is the cheapest revenue you own; nobody is writing to it."</t>
        </is>
      </c>
    </row>
    <row r="9">
      <c r="A9" s="2" t="inlineStr">
        <is>
          <t>Permits, inspections and parts runs eating crew-days ("Parts runs are killing me")</t>
        </is>
      </c>
      <c r="B9" s="2" t="inlineStr">
        <is>
          <t>AC change-outs need permits in all three counties; Palm Beach residential permits run 2-4 weeks. Broward approved private-provider virtual inspections (Aug 2025); Inspected-type services clear permits by photo/Zoom from ~$149. Owners describe 2-3 unrecoverable hours per parts run; 'can't sell from an empty wagon' (Heating Help forum).</t>
        </is>
      </c>
      <c r="C9" s="2" t="inlineStr">
        <is>
          <t>Permit/inspection tracker across jurisdictions, private-provider workflow, submittal checklists, purchase-order system and truck stock lists (the FMBS permits and inventory build).</t>
        </is>
      </c>
      <c r="D9" s="2" t="inlineStr">
        <is>
          <t>Systems + AI Enablement ($4,500 + $750/mo)</t>
        </is>
      </c>
      <c r="E9" s="2" t="inlineStr">
        <is>
          <t>One idle crew-day a week is a truck's worth of payroll with no revenue.</t>
        </is>
      </c>
      <c r="F9" s="2" t="inlineStr">
        <is>
          <t>"How many hours a week do your trucks spend at the supply house or waiting on an inspector? FMBS cut that with a PO system and a permit tracker."</t>
        </is>
      </c>
    </row>
  </sheetData>
  <autoFilter ref="A1: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05"/>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2" customWidth="1" min="1" max="1"/>
    <col width="16" customWidth="1" min="2" max="2"/>
    <col width="12" customWidth="1" min="3" max="3"/>
    <col width="18" customWidth="1" min="4" max="4"/>
    <col width="28" customWidth="1" min="5" max="5"/>
    <col width="10" customWidth="1" min="6" max="6"/>
    <col width="60" customWidth="1" min="7" max="7"/>
    <col width="18" customWidth="1" min="8" max="8"/>
    <col width="40" customWidth="1" min="9" max="9"/>
  </cols>
  <sheetData>
    <row r="1" ht="32" customHeight="1">
      <c r="A1" s="1" t="inlineStr">
        <is>
          <t>Company</t>
        </is>
      </c>
      <c r="B1" s="1" t="inlineStr">
        <is>
          <t>City</t>
        </is>
      </c>
      <c r="C1" s="1" t="inlineStr">
        <is>
          <t>County</t>
        </is>
      </c>
      <c r="D1" s="1" t="inlineStr">
        <is>
          <t>Phone (from snippet)</t>
        </is>
      </c>
      <c r="E1" s="1" t="inlineStr">
        <is>
          <t>Website</t>
        </is>
      </c>
      <c r="F1" s="1" t="inlineStr">
        <is>
          <t>Reviews</t>
        </is>
      </c>
      <c r="G1" s="1" t="inlineStr">
        <is>
          <t>Why it surfaced (signal)</t>
        </is>
      </c>
      <c r="H1" s="1" t="inlineStr">
        <is>
          <t>Found via</t>
        </is>
      </c>
      <c r="I1" s="1" t="inlineStr">
        <is>
          <t>Source URL</t>
        </is>
      </c>
    </row>
    <row r="2">
      <c r="A2" s="2" t="inlineStr">
        <is>
          <t>4.0 Air &amp; Heat</t>
        </is>
      </c>
      <c r="B2" s="2" t="inlineStr">
        <is>
          <t>Hollywood</t>
        </is>
      </c>
      <c r="C2" s="2" t="inlineStr">
        <is>
          <t>Broward</t>
        </is>
      </c>
      <c r="D2" s="2" t="inlineStr">
        <is>
          <t>(954) 998-4022</t>
        </is>
      </c>
      <c r="E2" s="2" t="inlineStr">
        <is>
          <t>https://40air.us/</t>
        </is>
      </c>
      <c r="F2" s="2" t="inlineStr"/>
      <c r="G2" s="2" t="inlineStr">
        <is>
          <t>STRONG FIT: family-owned, founded 2019; weak systems: Gmail address (4.0airconditioning@gmail.com), Mon-Fri 8-5 only (no weekend/after-hours capture), no owner name or license shown in snippets.</t>
        </is>
      </c>
      <c r="H2" s="2" t="inlineStr">
        <is>
          <t>broward-east-north</t>
        </is>
      </c>
      <c r="I2" s="2" t="inlineStr">
        <is>
          <t>https://40air.us/</t>
        </is>
      </c>
    </row>
    <row r="3">
      <c r="A3" s="2" t="inlineStr">
        <is>
          <t>Advanced AC (Joisse Cordeiro)</t>
        </is>
      </c>
      <c r="B3" s="2" t="inlineStr">
        <is>
          <t>Fort Lauderdale</t>
        </is>
      </c>
      <c r="C3" s="2" t="inlineStr">
        <is>
          <t>Broward</t>
        </is>
      </c>
      <c r="D3" s="2" t="inlineStr">
        <is>
          <t>(954) 908-9462 (site) / 954-901-0684 (chamber)</t>
        </is>
      </c>
      <c r="E3" s="2" t="inlineStr">
        <is>
          <t>acadvanced.com</t>
        </is>
      </c>
      <c r="F3" s="2" t="inlineStr"/>
      <c r="G3" s="2" t="inlineStr">
        <is>
          <t>Woman-owned, founder-led, 17 yrs, commercial/new-construction focus; two different phone numbers listed (site vs chamber); chamber Member of the Month Aug 2025.</t>
        </is>
      </c>
      <c r="H3" s="2" t="inlineStr">
        <is>
          <t>weak-web-presence</t>
        </is>
      </c>
      <c r="I3" s="2" t="inlineStr">
        <is>
          <t>https://www.ftlchamber.com/2025/08/25/member-of-the-month-joisse-cordeiro/</t>
        </is>
      </c>
    </row>
    <row r="4">
      <c r="A4" s="2" t="inlineStr">
        <is>
          <t>Cool Air ASAP</t>
        </is>
      </c>
      <c r="B4" s="2" t="inlineStr">
        <is>
          <t>Lauderhill</t>
        </is>
      </c>
      <c r="C4" s="2" t="inlineStr">
        <is>
          <t>Broward</t>
        </is>
      </c>
      <c r="D4" s="2" t="inlineStr">
        <is>
          <t>(754) 304-3489</t>
        </is>
      </c>
      <c r="E4" s="2" t="inlineStr">
        <is>
          <t>coolairasap.com</t>
        </is>
      </c>
      <c r="F4" s="2" t="inlineStr"/>
      <c r="G4" s="2" t="inlineStr">
        <is>
          <t>3521 W Sunrise Blvd, Lauderhill 33311; 754 number; storefront location. Owner not in snippet.</t>
        </is>
      </c>
      <c r="H4" s="2" t="inlineStr">
        <is>
          <t>broward-west</t>
        </is>
      </c>
      <c r="I4" s="2" t="inlineStr">
        <is>
          <t>https://coolairasap.com/</t>
        </is>
      </c>
    </row>
    <row r="5">
      <c r="A5" s="2" t="inlineStr">
        <is>
          <t>Cousin's Air, Inc.</t>
        </is>
      </c>
      <c r="B5" s="2" t="inlineStr">
        <is>
          <t>Pompano Beach</t>
        </is>
      </c>
      <c r="C5" s="2" t="inlineStr">
        <is>
          <t>Broward</t>
        </is>
      </c>
      <c r="D5" s="2" t="inlineStr">
        <is>
          <t>(954) 788-0099</t>
        </is>
      </c>
      <c r="E5" s="2" t="inlineStr"/>
      <c r="F5" s="2" t="inlineStr"/>
      <c r="G5" s="2" t="inlineStr">
        <is>
          <t>X/VERIFY - shares phone and 503 S Dixie Hwy E address block with Natal Air Conditioning USA; likely same ownership now - call Natal instead.</t>
        </is>
      </c>
      <c r="H5" s="2" t="inlineStr">
        <is>
          <t>broward-east-north</t>
        </is>
      </c>
      <c r="I5" s="2" t="inlineStr">
        <is>
          <t>https://www.bbb.org/us/fl/pompano-beach/category/air-conditioning-contractor/accredited</t>
        </is>
      </c>
    </row>
    <row r="6">
      <c r="A6" s="2" t="inlineStr">
        <is>
          <t>Pro Comfort AC</t>
        </is>
      </c>
      <c r="B6" s="2" t="inlineStr">
        <is>
          <t>Deerfield Beach</t>
        </is>
      </c>
      <c r="C6" s="2" t="inlineStr">
        <is>
          <t>Broward</t>
        </is>
      </c>
      <c r="D6" s="2" t="inlineStr">
        <is>
          <t>(954) 695-2979</t>
        </is>
      </c>
      <c r="E6" s="2" t="inlineStr">
        <is>
          <t>https://www.procomfortac.com/</t>
        </is>
      </c>
      <c r="F6" s="2" t="inlineStr"/>
      <c r="G6" s="2" t="inlineStr">
        <is>
          <t>STRONG FIT: LLC formed Apr 2023, started business Aug 2023, July 2026 press release 'expands HVAC services'; 817 SE 9th St Ste 100; owners Evgeny Pesok (Manager) / Nikita V. Novak (Managing Member); two CAC licenses (CAC1822485, CAC1822561) = young, scaling shop.</t>
        </is>
      </c>
      <c r="H6" s="2" t="inlineStr">
        <is>
          <t>broward-east-north</t>
        </is>
      </c>
      <c r="I6" s="2" t="inlineStr">
        <is>
          <t>https://www.bbb.org/us/fl/deerfield-beach/profile/air-conditioning-contractor/pro-comfort-ac-0633-92056426</t>
        </is>
      </c>
    </row>
    <row r="7">
      <c r="A7" s="2" t="inlineStr">
        <is>
          <t>ACE Air Conditioning (Ace Heating &amp; Air Conditioning Service Inc)</t>
        </is>
      </c>
      <c r="B7" s="2" t="inlineStr">
        <is>
          <t>Lantana</t>
        </is>
      </c>
      <c r="C7" s="2" t="inlineStr">
        <is>
          <t>Palm Beach</t>
        </is>
      </c>
      <c r="D7" s="2" t="inlineStr">
        <is>
          <t>(561) 833-1236</t>
        </is>
      </c>
      <c r="E7" s="2" t="inlineStr">
        <is>
          <t>https://www.aceairconditioner.com/</t>
        </is>
      </c>
      <c r="F7" s="2" t="inlineStr"/>
      <c r="G7" s="2" t="inlineStr">
        <is>
          <t>Address: 510 Whitney Ave, Lantana, FL. Founded 1977 by Cal Waters, family owned and operated; commercial AC, refrigeration and ice-machine service (HVACR). Founder named - succession/second-gen conversation likely.</t>
        </is>
      </c>
      <c r="H7" s="2" t="inlineStr">
        <is>
          <t>palm-beach-south</t>
        </is>
      </c>
      <c r="I7" s="2" t="inlineStr">
        <is>
          <t>https://www.yelp.com/biz/ace-air-conditioning-lantana</t>
        </is>
      </c>
    </row>
    <row r="8">
      <c r="A8" s="2" t="inlineStr">
        <is>
          <t>Comfortly Air Conditioning</t>
        </is>
      </c>
      <c r="B8" s="2" t="inlineStr">
        <is>
          <t>West Palm Beach (8075 Avocado Blvd, 33412)</t>
        </is>
      </c>
      <c r="C8" s="2" t="inlineStr">
        <is>
          <t>Palm Beach</t>
        </is>
      </c>
      <c r="D8" s="2" t="inlineStr">
        <is>
          <t>(561) 786-8622</t>
        </is>
      </c>
      <c r="E8" s="2" t="inlineStr">
        <is>
          <t>https://callcomfortly.com/</t>
        </is>
      </c>
      <c r="F8" s="2" t="inlineStr"/>
      <c r="G8" s="2" t="inlineStr">
        <is>
          <t>Family/Hispanic-owned, Palm Beach North Chamber member, newer brand pushing same-day repair + honest pricing; small and scaling, good first-client profile</t>
        </is>
      </c>
      <c r="H8" s="2" t="inlineStr">
        <is>
          <t>palm-beach-north</t>
        </is>
      </c>
      <c r="I8" s="2" t="inlineStr">
        <is>
          <t>https://members.pbnchamber.com/list/member/comfortly-air-conditioning-20153</t>
        </is>
      </c>
    </row>
    <row r="9">
      <c r="A9" s="2" t="inlineStr">
        <is>
          <t>E.D.S Air Conditioning &amp; Plumbing</t>
        </is>
      </c>
      <c r="B9" s="2" t="inlineStr">
        <is>
          <t>Lake Worth</t>
        </is>
      </c>
      <c r="C9" s="2" t="inlineStr">
        <is>
          <t>Palm Beach</t>
        </is>
      </c>
      <c r="D9" s="2" t="inlineStr">
        <is>
          <t>(561) 586-7090</t>
        </is>
      </c>
      <c r="E9" s="2" t="inlineStr">
        <is>
          <t>https://www.edsairconditioning.com/</t>
        </is>
      </c>
      <c r="F9" s="2" t="inlineStr"/>
      <c r="G9" s="2" t="inlineStr">
        <is>
          <t>Address: 2200 4th Ave N Ste 1, Lake Worth, FL 33461. Family-owned since 2006; HVAC + plumbing division; actively hiring residential service techs ($25-$35/hr). Multi-trade + hiring = strong fit; verify headcount under ~50.</t>
        </is>
      </c>
      <c r="H9" s="2" t="inlineStr">
        <is>
          <t>palm-beach-south</t>
        </is>
      </c>
      <c r="I9" s="2" t="inlineStr">
        <is>
          <t>https://www.edsairconditioning.com/service-area/air-conditioning-heating-lake-worth-fl</t>
        </is>
      </c>
    </row>
    <row r="10">
      <c r="A10" s="2" t="inlineStr">
        <is>
          <t>JB's A/C &amp; Electrical</t>
        </is>
      </c>
      <c r="B10" s="2" t="inlineStr">
        <is>
          <t>Jupiter (705 Pawnee St, 33458)</t>
        </is>
      </c>
      <c r="C10" s="2" t="inlineStr">
        <is>
          <t>Palm Beach</t>
        </is>
      </c>
      <c r="D10" s="2" t="inlineStr">
        <is>
          <t>(772) 634-6315</t>
        </is>
      </c>
      <c r="E10" s="2" t="inlineStr"/>
      <c r="F10" s="2" t="inlineStr"/>
      <c r="G10" s="2" t="inlineStr">
        <is>
          <t>BBB A+; AC + electrical; residential-street address and 772 number = very small owner-operator</t>
        </is>
      </c>
      <c r="H10" s="2" t="inlineStr">
        <is>
          <t>palm-beach-north</t>
        </is>
      </c>
      <c r="I10" s="2" t="inlineStr">
        <is>
          <t>https://www.bbb.org/us/fl/jupiter/profile/air-conditioning-contractor/jbs-ac-electrical-0633-90005641/addressId/174848</t>
        </is>
      </c>
    </row>
    <row r="11">
      <c r="A11" s="2" t="inlineStr">
        <is>
          <t>Keep Kool Mechanics, Inc.</t>
        </is>
      </c>
      <c r="B11" s="2" t="inlineStr">
        <is>
          <t>West Palm Beach (406 Jeannine Dr, 33406)</t>
        </is>
      </c>
      <c r="C11" s="2" t="inlineStr">
        <is>
          <t>Palm Beach</t>
        </is>
      </c>
      <c r="D11" s="2" t="inlineStr">
        <is>
          <t>(561) 689-1743</t>
        </is>
      </c>
      <c r="E11" s="2" t="inlineStr"/>
      <c r="F11" s="2" t="inlineStr"/>
      <c r="G11" s="2" t="inlineStr">
        <is>
          <t>BBB A+; residential-street address = home-based owner-operator</t>
        </is>
      </c>
      <c r="H11" s="2" t="inlineStr">
        <is>
          <t>palm-beach-north</t>
        </is>
      </c>
      <c r="I11" s="2" t="inlineStr">
        <is>
          <t>https://www.bbb.org/us/fl/west-palm-beach/category/air-conditioning-contractor/accredited</t>
        </is>
      </c>
    </row>
    <row r="12">
      <c r="A12" s="2" t="inlineStr">
        <is>
          <t>Miklos Air, Inc.</t>
        </is>
      </c>
      <c r="B12" s="2" t="inlineStr">
        <is>
          <t>Jupiter (231 Jupiter St, 33458)</t>
        </is>
      </c>
      <c r="C12" s="2" t="inlineStr">
        <is>
          <t>Palm Beach</t>
        </is>
      </c>
      <c r="D12" s="2" t="inlineStr">
        <is>
          <t>(561) 575-2173</t>
        </is>
      </c>
      <c r="E12" s="2" t="inlineStr">
        <is>
          <t>https://miklosair.com/</t>
        </is>
      </c>
      <c r="F12" s="2" t="inlineStr"/>
      <c r="G12" s="2" t="inlineStr">
        <is>
          <t>Family-owned and operated since 1984; long-tenured owner, likely legacy office systems and succession-stage</t>
        </is>
      </c>
      <c r="H12" s="2" t="inlineStr">
        <is>
          <t>palm-beach-north</t>
        </is>
      </c>
      <c r="I12" s="2" t="inlineStr">
        <is>
          <t>https://miklosair.com/</t>
        </is>
      </c>
    </row>
    <row r="13">
      <c r="A13" s="2" t="inlineStr">
        <is>
          <t>North County Cooling, Inc.</t>
        </is>
      </c>
      <c r="B13" s="2" t="inlineStr">
        <is>
          <t>Palm Beach Gardens (9632 Ilex Cir S, 33410)</t>
        </is>
      </c>
      <c r="C13" s="2" t="inlineStr">
        <is>
          <t>Palm Beach</t>
        </is>
      </c>
      <c r="D13" s="2" t="inlineStr">
        <is>
          <t>(561) 744-1180</t>
        </is>
      </c>
      <c r="E13" s="2" t="inlineStr">
        <is>
          <t>https://northcountycooling.com/</t>
        </is>
      </c>
      <c r="F13" s="2" t="inlineStr"/>
      <c r="G13" s="2" t="inlineStr">
        <is>
          <t>X: acquired by Seacoast Service Partners (White Wolf Capital) Dec 2024 - consolidator-owned</t>
        </is>
      </c>
      <c r="H13" s="2" t="inlineStr">
        <is>
          <t>palm-beach-north</t>
        </is>
      </c>
      <c r="I13" s="2" t="inlineStr">
        <is>
          <t>https://www.whitewolfcapital.com/news/seacoast-service-partners-acquires-north-county-cooling/</t>
        </is>
      </c>
    </row>
    <row r="14">
      <c r="A14" s="2" t="inlineStr">
        <is>
          <t>Palm Air AC</t>
        </is>
      </c>
      <c r="B14" s="2" t="inlineStr">
        <is>
          <t>Palm Beach County (HQ not in snippet; serves Lantana, Royal Palm Beach)</t>
        </is>
      </c>
      <c r="C14" s="2" t="inlineStr">
        <is>
          <t>Palm Beach</t>
        </is>
      </c>
      <c r="D14" s="2" t="inlineStr">
        <is>
          <t>(561) 203-1315</t>
        </is>
      </c>
      <c r="E14" s="2" t="inlineStr">
        <is>
          <t>https://www.palmairac.com/</t>
        </is>
      </c>
      <c r="F14" s="2" t="inlineStr"/>
      <c r="G14" s="2" t="inlineStr">
        <is>
          <t>10+ years; runs dozens of thin keyword city pages ('HVAC Expert in Lantana', etc.) - classic agency SEO spend with likely poor conversion tracking. Verify HQ and owner.</t>
        </is>
      </c>
      <c r="H14" s="2" t="inlineStr">
        <is>
          <t>palm-beach-south</t>
        </is>
      </c>
      <c r="I14" s="2" t="inlineStr">
        <is>
          <t>https://www.palmairac.com/air-conditioning-company-lantana-fl</t>
        </is>
      </c>
    </row>
    <row r="15">
      <c r="A15" s="2" t="inlineStr">
        <is>
          <t>Preferred Air Conditioning &amp; Mechanical, Inc.</t>
        </is>
      </c>
      <c r="B15" s="2" t="inlineStr">
        <is>
          <t>West Palm Beach (1643 Donna Rd, 33409)</t>
        </is>
      </c>
      <c r="C15" s="2" t="inlineStr">
        <is>
          <t>Palm Beach</t>
        </is>
      </c>
      <c r="D15" s="2" t="inlineStr">
        <is>
          <t>(561) 689-1093</t>
        </is>
      </c>
      <c r="E15" s="2" t="inlineStr"/>
      <c r="F15" s="2" t="inlineStr"/>
      <c r="G15" s="2" t="inlineStr">
        <is>
          <t>Family-owned 24+ yrs, BBB A+ since 2007; hiring techs with health/vision/dental = scaling and office load</t>
        </is>
      </c>
      <c r="H15" s="2" t="inlineStr">
        <is>
          <t>palm-beach-north</t>
        </is>
      </c>
      <c r="I15" s="2" t="inlineStr">
        <is>
          <t>https://www.bbb.org/us/fl/west-palm-beach/profile/air-conditioning-contractor/preferred-air-conditioning-mechanical-inc-0633-23005952</t>
        </is>
      </c>
    </row>
    <row r="16">
      <c r="A16" s="2" t="inlineStr">
        <is>
          <t>Premier Comfort Services</t>
        </is>
      </c>
      <c r="B16" s="2" t="inlineStr">
        <is>
          <t>West Palm Beach (5407 N Haverhill Rd Ste 341, 33407)</t>
        </is>
      </c>
      <c r="C16" s="2" t="inlineStr">
        <is>
          <t>Palm Beach</t>
        </is>
      </c>
      <c r="D16" s="2" t="inlineStr">
        <is>
          <t>561-444-3670 / 407-530-3670</t>
        </is>
      </c>
      <c r="E16" s="2" t="inlineStr">
        <is>
          <t>https://premiercomfortac.com/</t>
        </is>
      </c>
      <c r="F16" s="2" t="inlineStr"/>
      <c r="G16" s="2" t="inlineStr">
        <is>
          <t>Veteran-owned, founded 2011; two phone numbers (one 407 area code) = tracking/second market; mailbox-suite address</t>
        </is>
      </c>
      <c r="H16" s="2" t="inlineStr">
        <is>
          <t>palm-beach-north</t>
        </is>
      </c>
      <c r="I16" s="2" t="inlineStr">
        <is>
          <t>https://premiercomfortac.com/air-conditioning/</t>
        </is>
      </c>
    </row>
    <row r="17">
      <c r="A17" s="2" t="inlineStr">
        <is>
          <t>Pro-Tech Air</t>
        </is>
      </c>
      <c r="B17" s="2" t="inlineStr">
        <is>
          <t>Royal Palm Beach / West Palm Beach</t>
        </is>
      </c>
      <c r="C17" s="2" t="inlineStr">
        <is>
          <t>Palm Beach</t>
        </is>
      </c>
      <c r="D17" s="2" t="inlineStr">
        <is>
          <t>561-793-0504</t>
        </is>
      </c>
      <c r="E17" s="2" t="inlineStr">
        <is>
          <t>https://protechair.com/</t>
        </is>
      </c>
      <c r="F17" s="2" t="inlineStr"/>
      <c r="G17" s="2" t="inlineStr">
        <is>
          <t>Fully insured, 'since 1968' with 30+ years serving Broward &amp; Palm Beach homeowners and businesses; 793 exchange = Royal Palm/Wellington. Legacy shop; verify owner and size.</t>
        </is>
      </c>
      <c r="H17" s="2" t="inlineStr">
        <is>
          <t>palm-beach-south</t>
        </is>
      </c>
      <c r="I17" s="2" t="inlineStr">
        <is>
          <t>https://protechair.com/</t>
        </is>
      </c>
    </row>
    <row r="18">
      <c r="A18" s="2" t="inlineStr">
        <is>
          <t>Reyes Air Conditioning</t>
        </is>
      </c>
      <c r="B18" s="2" t="inlineStr">
        <is>
          <t>Royal Palm Beach area</t>
        </is>
      </c>
      <c r="C18" s="2" t="inlineStr">
        <is>
          <t>Palm Beach</t>
        </is>
      </c>
      <c r="D18" s="2" t="inlineStr">
        <is>
          <t>(561) 386-5858</t>
        </is>
      </c>
      <c r="E18" s="2" t="inlineStr">
        <is>
          <t>https://reyesac.com/</t>
        </is>
      </c>
      <c r="F18" s="2" t="inlineStr"/>
      <c r="G18" s="2" t="inlineStr">
        <is>
          <t>Second-generation family business, locally owned, 30+ years. Generational handoff = typical moment to modernize office/systems. Verify HQ address.</t>
        </is>
      </c>
      <c r="H18" s="2" t="inlineStr">
        <is>
          <t>palm-beach-south</t>
        </is>
      </c>
      <c r="I18" s="2" t="inlineStr">
        <is>
          <t>https://reyesac.com/air-conditioning/repair/</t>
        </is>
      </c>
    </row>
    <row r="19">
      <c r="A19" s="2" t="inlineStr">
        <is>
          <t>Reynold's Certified Air Conditioning Service, Inc.</t>
        </is>
      </c>
      <c r="B19" s="2" t="inlineStr">
        <is>
          <t>Jupiter (PO Box 1446, 33468)</t>
        </is>
      </c>
      <c r="C19" s="2" t="inlineStr">
        <is>
          <t>Palm Beach</t>
        </is>
      </c>
      <c r="D19" s="2" t="inlineStr">
        <is>
          <t>(561) 744-1789</t>
        </is>
      </c>
      <c r="E19" s="2" t="inlineStr"/>
      <c r="F19" s="2" t="inlineStr"/>
      <c r="G19" s="2" t="inlineStr">
        <is>
          <t>BBB A+; PO-box only and no website found = owner-in-the-truck operation, weak systems</t>
        </is>
      </c>
      <c r="H19" s="2" t="inlineStr">
        <is>
          <t>palm-beach-north</t>
        </is>
      </c>
      <c r="I19" s="2" t="inlineStr">
        <is>
          <t>https://www.bbb.org/us/fl/jupiter/category/air-conditioning-contractor/accredited</t>
        </is>
      </c>
    </row>
    <row r="20">
      <c r="A20" s="2" t="inlineStr">
        <is>
          <t>Stephen K. Denny, Inc.</t>
        </is>
      </c>
      <c r="B20" s="2" t="inlineStr">
        <is>
          <t>Jupiter (406 Commerce Way, 33458)</t>
        </is>
      </c>
      <c r="C20" s="2" t="inlineStr">
        <is>
          <t>Palm Beach</t>
        </is>
      </c>
      <c r="D20" s="2" t="inlineStr">
        <is>
          <t>(561) 743-9554</t>
        </is>
      </c>
      <c r="E20" s="2" t="inlineStr"/>
      <c r="F20" s="2" t="inlineStr"/>
      <c r="G20" s="2" t="inlineStr">
        <is>
          <t>BBB A+ accredited, owner-named corporation; no website surfaced</t>
        </is>
      </c>
      <c r="H20" s="2" t="inlineStr">
        <is>
          <t>palm-beach-north</t>
        </is>
      </c>
      <c r="I20" s="2" t="inlineStr">
        <is>
          <t>https://www.bbb.org/us/fl/jupiter/category/air-conditioning-contractor/accredited</t>
        </is>
      </c>
    </row>
    <row r="21">
      <c r="A21" s="2" t="inlineStr">
        <is>
          <t>Superior Air</t>
        </is>
      </c>
      <c r="B21" s="2" t="inlineStr">
        <is>
          <t>Boca Raton</t>
        </is>
      </c>
      <c r="C21" s="2" t="inlineStr">
        <is>
          <t>Palm Beach</t>
        </is>
      </c>
      <c r="D21" s="2" t="inlineStr">
        <is>
          <t>(561) 394-8715</t>
        </is>
      </c>
      <c r="E21" s="2" t="inlineStr">
        <is>
          <t>https://www.superiorairboca.com/</t>
        </is>
      </c>
      <c r="F21" s="2" t="inlineStr"/>
      <c r="G21" s="2" t="inlineStr">
        <is>
          <t>Family-owned, located in Boca Raton, 30+ years in business. Legacy shop - likely dated systems; verify owner, CAC #, online booking.</t>
        </is>
      </c>
      <c r="H21" s="2" t="inlineStr">
        <is>
          <t>palm-beach-south</t>
        </is>
      </c>
      <c r="I21" s="2" t="inlineStr">
        <is>
          <t>https://www.superiorairboca.com/</t>
        </is>
      </c>
    </row>
    <row r="22">
      <c r="A22" s="2" t="inlineStr">
        <is>
          <t>Fahrenheit AC</t>
        </is>
      </c>
      <c r="B22" s="2" t="inlineStr"/>
      <c r="C22" s="2" t="inlineStr">
        <is>
          <t>Broward (unverified)</t>
        </is>
      </c>
      <c r="D22" s="2" t="inlineStr">
        <is>
          <t>(954) 793-8610</t>
        </is>
      </c>
      <c r="E22" s="2" t="inlineStr">
        <is>
          <t>https://fahrenheitacfl.com/</t>
        </is>
      </c>
      <c r="F22" s="2" t="inlineStr"/>
      <c r="G22" s="2" t="inlineStr">
        <is>
          <t>FIT: family-owned 25+ yrs, pages for Hollywood and Lighthouse Point; HQ city/owner not confirmed.</t>
        </is>
      </c>
      <c r="H22" s="2" t="inlineStr">
        <is>
          <t>broward-east-north</t>
        </is>
      </c>
      <c r="I22" s="2" t="inlineStr">
        <is>
          <t>https://fahrenheitacfl.com/hollywood-ac-repair-installation/</t>
        </is>
      </c>
    </row>
    <row r="23">
      <c r="A23" s="2" t="inlineStr">
        <is>
          <t>License to Chill</t>
        </is>
      </c>
      <c r="B23" s="2" t="inlineStr"/>
      <c r="C23" s="2" t="inlineStr">
        <is>
          <t>Broward (unverified)</t>
        </is>
      </c>
      <c r="D23" s="2" t="inlineStr">
        <is>
          <t>(954) 931-2047</t>
        </is>
      </c>
      <c r="E23" s="2" t="inlineStr">
        <is>
          <t>https://licensetochillac.com/</t>
        </is>
      </c>
      <c r="F23" s="2" t="inlineStr"/>
      <c r="G23" s="2" t="inlineStr">
        <is>
          <t>FIT: family-owned/operated 20+ yrs, serves Lighthouse Point/Wilton Manors; HQ city/owner not confirmed.</t>
        </is>
      </c>
      <c r="H23" s="2" t="inlineStr">
        <is>
          <t>broward-east-north</t>
        </is>
      </c>
      <c r="I23" s="2" t="inlineStr">
        <is>
          <t>https://licensetochillac.com/wilton-manors-air-conditioning-contractor/</t>
        </is>
      </c>
    </row>
    <row r="24">
      <c r="A24" s="2" t="inlineStr">
        <is>
          <t>Above N Beyond Mechanical</t>
        </is>
      </c>
      <c r="B24" s="2" t="inlineStr">
        <is>
          <t>Pembroke Pines</t>
        </is>
      </c>
      <c r="C24" s="2" t="inlineStr">
        <is>
          <t>Broward</t>
        </is>
      </c>
      <c r="D24" s="2" t="inlineStr">
        <is>
          <t>(754) 209-8803</t>
        </is>
      </c>
      <c r="E24" s="2" t="inlineStr"/>
      <c r="F24" s="2" t="inlineStr"/>
      <c r="G24" s="2" t="inlineStr">
        <is>
          <t>Nextdoor-recommended local contractor serving Pembroke Pines/Miramar; 754 number; no website surfaced = Nextdoor/Facebook-only presence likely.</t>
        </is>
      </c>
      <c r="H24" s="2" t="inlineStr">
        <is>
          <t>broward-west</t>
        </is>
      </c>
      <c r="I24" s="2" t="inlineStr">
        <is>
          <t>https://nextdoor.com/pages/above-n-beyond-mechanical-pembroke-pines-fl-1/</t>
        </is>
      </c>
    </row>
    <row r="25">
      <c r="A25" s="2" t="inlineStr">
        <is>
          <t>Ac Repair Hollywood</t>
        </is>
      </c>
      <c r="B25" s="2" t="inlineStr">
        <is>
          <t>Hollywood</t>
        </is>
      </c>
      <c r="C25" s="2" t="inlineStr">
        <is>
          <t>Broward</t>
        </is>
      </c>
      <c r="D25" s="2" t="inlineStr">
        <is>
          <t>(954) 228-0082</t>
        </is>
      </c>
      <c r="E25" s="2" t="inlineStr">
        <is>
          <t>https://www.facebook.com/Acrepairhollywood/</t>
        </is>
      </c>
      <c r="F25" s="2" t="inlineStr"/>
      <c r="G25" s="2" t="inlineStr">
        <is>
          <t>WEAK-SYSTEMS FIT: Facebook-only presence with phone in the page name; no website, no license shown.</t>
        </is>
      </c>
      <c r="H25" s="2" t="inlineStr">
        <is>
          <t>broward-east-north</t>
        </is>
      </c>
      <c r="I25" s="2" t="inlineStr">
        <is>
          <t>https://www.facebook.com/Acrepairhollywood/</t>
        </is>
      </c>
    </row>
    <row r="26">
      <c r="A26" s="2" t="inlineStr">
        <is>
          <t>AC Repairs by FreezeTop</t>
        </is>
      </c>
      <c r="B26" s="2" t="inlineStr"/>
      <c r="C26" s="2" t="inlineStr">
        <is>
          <t>Broward</t>
        </is>
      </c>
      <c r="D26" s="2" t="inlineStr">
        <is>
          <t>(954) 284-9851</t>
        </is>
      </c>
      <c r="E26" s="2" t="inlineStr">
        <is>
          <t>acrepairsbyfreezetop.com</t>
        </is>
      </c>
      <c r="F26" s="2" t="inlineStr"/>
      <c r="G26" s="2" t="inlineStr">
        <is>
          <t>Cooper City service page; long keyword domain suggests DIY/SEO-vendor site. HQ not in snippet.</t>
        </is>
      </c>
      <c r="H26" s="2" t="inlineStr">
        <is>
          <t>broward-west</t>
        </is>
      </c>
      <c r="I26" s="2" t="inlineStr">
        <is>
          <t>https://acrepairsbyfreezetop.com/air-conditioning-repair-in-cooper-city-fl/</t>
        </is>
      </c>
    </row>
    <row r="27">
      <c r="A27" s="2" t="inlineStr">
        <is>
          <t>Air Co of Florida</t>
        </is>
      </c>
      <c r="B27" s="2" t="inlineStr">
        <is>
          <t>Oakland Park</t>
        </is>
      </c>
      <c r="C27" s="2" t="inlineStr">
        <is>
          <t>Broward</t>
        </is>
      </c>
      <c r="D27" s="2" t="inlineStr">
        <is>
          <t>(754) 200-6168</t>
        </is>
      </c>
      <c r="E27" s="2" t="inlineStr"/>
      <c r="F27" s="2" t="inlineStr">
        <is>
          <t>Yelp (17 photos)</t>
        </is>
      </c>
      <c r="G27" s="2" t="inlineStr">
        <is>
          <t>GOOD FIT: Class A mechanical contractor at 4409 NE 5th Ter 33334, tri-county service; Yelp-only presence surfaced in search (no website found) = weak online systems.</t>
        </is>
      </c>
      <c r="H27" s="2" t="inlineStr">
        <is>
          <t>broward-east-north</t>
        </is>
      </c>
      <c r="I27" s="2" t="inlineStr">
        <is>
          <t>https://www.yelp.com/biz/air-co-of-florida-oakland-park</t>
        </is>
      </c>
    </row>
    <row r="28">
      <c r="A28" s="2" t="inlineStr">
        <is>
          <t>Air Conditioning By Speedy</t>
        </is>
      </c>
      <c r="B28" s="2" t="inlineStr">
        <is>
          <t>Oakland Park</t>
        </is>
      </c>
      <c r="C28" s="2" t="inlineStr">
        <is>
          <t>Broward</t>
        </is>
      </c>
      <c r="D28" s="2" t="inlineStr">
        <is>
          <t>(954) 714-3030</t>
        </is>
      </c>
      <c r="E28" s="2" t="inlineStr">
        <is>
          <t>https://airbyspeedy.ruudpropartner.com/</t>
        </is>
      </c>
      <c r="F28" s="2" t="inlineStr"/>
      <c r="G28" s="2" t="inlineStr">
        <is>
          <t>WEAK-SYSTEMS FIT: website is a free Ruud Pro Partner template subdomain (no own domain) = no booking, no reviews, no maintenance plan page; 2317 NW 30th St 33311.</t>
        </is>
      </c>
      <c r="H28" s="2" t="inlineStr">
        <is>
          <t>broward-east-north</t>
        </is>
      </c>
      <c r="I28" s="2" t="inlineStr">
        <is>
          <t>https://airbyspeedy.ruudpropartner.com/</t>
        </is>
      </c>
    </row>
    <row r="29">
      <c r="A29" s="2" t="inlineStr">
        <is>
          <t>Air Magic Company</t>
        </is>
      </c>
      <c r="B29" s="2" t="inlineStr">
        <is>
          <t>Oakland Park</t>
        </is>
      </c>
      <c r="C29" s="2" t="inlineStr">
        <is>
          <t>Broward</t>
        </is>
      </c>
      <c r="D29" s="2" t="inlineStr">
        <is>
          <t>954-491-4557</t>
        </is>
      </c>
      <c r="E29" s="2" t="inlineStr">
        <is>
          <t>airmagicair.com</t>
        </is>
      </c>
      <c r="F29" s="2" t="inlineStr"/>
      <c r="G29" s="2" t="inlineStr">
        <is>
          <t>Founded 1969 as Magic Air; fax number still advertised; dated site with 'webapp' offers page; no CAC number seen in snippets.</t>
        </is>
      </c>
      <c r="H29" s="2" t="inlineStr">
        <is>
          <t>weak-web-presence</t>
        </is>
      </c>
      <c r="I29" s="2" t="inlineStr">
        <is>
          <t>https://www.airmagicair.com/about-us</t>
        </is>
      </c>
    </row>
    <row r="30">
      <c r="A30" s="2" t="inlineStr">
        <is>
          <t>All County Air Conditioning Repair (All County AC, Refrigeration &amp; Heating Co.)</t>
        </is>
      </c>
      <c r="B30" s="2" t="inlineStr">
        <is>
          <t>Plantation</t>
        </is>
      </c>
      <c r="C30" s="2" t="inlineStr">
        <is>
          <t>Broward</t>
        </is>
      </c>
      <c r="D30" s="2" t="inlineStr">
        <is>
          <t>954-297-9754</t>
        </is>
      </c>
      <c r="E30" s="2" t="inlineStr">
        <is>
          <t>airconditioningbroward.com</t>
        </is>
      </c>
      <c r="F30" s="2" t="inlineStr">
        <is>
          <t>Yelp 94 (4.8)</t>
        </is>
      </c>
      <c r="G30" s="2" t="inlineStr">
        <is>
          <t>Family-owned 40+ yrs; generic SEO domain; single cell-style phone; 24/7 claims; state-certified.</t>
        </is>
      </c>
      <c r="H30" s="2" t="inlineStr">
        <is>
          <t>weak-web-presence</t>
        </is>
      </c>
      <c r="I30" s="2" t="inlineStr">
        <is>
          <t>https://www.yelp.com/biz/all-county-air-conditioning-repair-plantation-3</t>
        </is>
      </c>
    </row>
    <row r="31">
      <c r="A31" s="2" t="inlineStr">
        <is>
          <t>Bel Air Services &amp; Air Conditioning Inc</t>
        </is>
      </c>
      <c r="B31" s="2" t="inlineStr">
        <is>
          <t>Pembroke Pines</t>
        </is>
      </c>
      <c r="C31" s="2" t="inlineStr">
        <is>
          <t>Broward</t>
        </is>
      </c>
      <c r="D31" s="2" t="inlineStr">
        <is>
          <t>(954) 895-1534</t>
        </is>
      </c>
      <c r="E31" s="2" t="inlineStr"/>
      <c r="F31" s="2" t="inlineStr">
        <is>
          <t>Yelp 2 (5.0)</t>
        </is>
      </c>
      <c r="G31" s="2" t="inlineStr">
        <is>
          <t>Since 2005, CAC1816213 active; almost no reviews; no website found.</t>
        </is>
      </c>
      <c r="H31" s="2" t="inlineStr">
        <is>
          <t>weak-web-presence</t>
        </is>
      </c>
      <c r="I31" s="2" t="inlineStr">
        <is>
          <t>https://www.yelp.com/biz/bel-air-services-and-air-conditioning-pembroke-pines</t>
        </is>
      </c>
    </row>
    <row r="32">
      <c r="A32" s="2" t="inlineStr">
        <is>
          <t>Comfactor A/C (Comfactor Air Corporation)</t>
        </is>
      </c>
      <c r="B32" s="2" t="inlineStr">
        <is>
          <t>Weston / Pembroke Pines</t>
        </is>
      </c>
      <c r="C32" s="2" t="inlineStr">
        <is>
          <t>Broward</t>
        </is>
      </c>
      <c r="D32" s="2" t="inlineStr">
        <is>
          <t>(954) 292-9114</t>
        </is>
      </c>
      <c r="E32" s="2" t="inlineStr">
        <is>
          <t>comfactorac.com</t>
        </is>
      </c>
      <c r="F32" s="2" t="inlineStr"/>
      <c r="G32" s="2" t="inlineStr">
        <is>
          <t>Two locations (Weston + Pembroke Pines); 'trusted by 300 families' (small base); Nextdoor favorite 2021; Yelp with no visible reviews.</t>
        </is>
      </c>
      <c r="H32" s="2" t="inlineStr">
        <is>
          <t>weak-web-presence</t>
        </is>
      </c>
      <c r="I32" s="2" t="inlineStr">
        <is>
          <t>https://www.yelp.com/biz/comfactor-ac-weston</t>
        </is>
      </c>
    </row>
    <row r="33">
      <c r="A33" s="2" t="inlineStr">
        <is>
          <t>Cool America Air LLC</t>
        </is>
      </c>
      <c r="B33" s="2" t="inlineStr">
        <is>
          <t>Fort Lauderdale</t>
        </is>
      </c>
      <c r="C33" s="2" t="inlineStr">
        <is>
          <t>Broward</t>
        </is>
      </c>
      <c r="D33" s="2" t="inlineStr">
        <is>
          <t>954-720-5411</t>
        </is>
      </c>
      <c r="E33" s="2" t="inlineStr">
        <is>
          <t>coolamericaair.com</t>
        </is>
      </c>
      <c r="F33" s="2" t="inlineStr"/>
      <c r="G33" s="2" t="inlineStr">
        <is>
          <t>20+ years, CAC #1814008, Greater Fort Lauderdale Chamber member; template-style website with no review count or booking visible.</t>
        </is>
      </c>
      <c r="H33" s="2" t="inlineStr">
        <is>
          <t>weak-web-presence</t>
        </is>
      </c>
      <c r="I33" s="2" t="inlineStr">
        <is>
          <t>https://www.coolamericaair.com/</t>
        </is>
      </c>
    </row>
    <row r="34">
      <c r="A34" s="2" t="inlineStr">
        <is>
          <t>Dobis HVAC</t>
        </is>
      </c>
      <c r="B34" s="2" t="inlineStr">
        <is>
          <t>Sunrise</t>
        </is>
      </c>
      <c r="C34" s="2" t="inlineStr">
        <is>
          <t>Broward</t>
        </is>
      </c>
      <c r="D34" s="2" t="inlineStr">
        <is>
          <t>(754) 244-9541</t>
        </is>
      </c>
      <c r="E34" s="2" t="inlineStr">
        <is>
          <t>dobishvacinc.wixsite.com</t>
        </is>
      </c>
      <c r="F34" s="2" t="inlineStr"/>
      <c r="G34" s="2" t="inlineStr">
        <is>
          <t>Est. 2000; free Wix site; Yelp with no visible review count; 24/7 claim.</t>
        </is>
      </c>
      <c r="H34" s="2" t="inlineStr">
        <is>
          <t>weak-web-presence</t>
        </is>
      </c>
      <c r="I34" s="2" t="inlineStr">
        <is>
          <t>https://www.yelp.com/biz/dobis-hvac-sunrise</t>
        </is>
      </c>
    </row>
    <row r="35">
      <c r="A35" s="2" t="inlineStr">
        <is>
          <t>Dr Cool Service LLC</t>
        </is>
      </c>
      <c r="B35" s="2" t="inlineStr">
        <is>
          <t>Weston</t>
        </is>
      </c>
      <c r="C35" s="2" t="inlineStr">
        <is>
          <t>Broward</t>
        </is>
      </c>
      <c r="D35" s="2" t="inlineStr">
        <is>
          <t>888-886-0969</t>
        </is>
      </c>
      <c r="E35" s="2" t="inlineStr">
        <is>
          <t>drcoolservicellc.com</t>
        </is>
      </c>
      <c r="F35" s="2" t="inlineStr">
        <is>
          <t>Yelp 18</t>
        </is>
      </c>
      <c r="G35" s="2" t="inlineStr">
        <is>
          <t>Est. 2015; toll-free-only number; under 60 reviews.</t>
        </is>
      </c>
      <c r="H35" s="2" t="inlineStr">
        <is>
          <t>weak-web-presence</t>
        </is>
      </c>
      <c r="I35" s="2" t="inlineStr">
        <is>
          <t>https://www.yelp.com/biz/dr-cool-service-weston</t>
        </is>
      </c>
    </row>
    <row r="36">
      <c r="A36" s="2" t="inlineStr">
        <is>
          <t>Econoair Team LLC</t>
        </is>
      </c>
      <c r="B36" s="2" t="inlineStr">
        <is>
          <t>Pompano Beach</t>
        </is>
      </c>
      <c r="C36" s="2" t="inlineStr">
        <is>
          <t>Broward</t>
        </is>
      </c>
      <c r="D36" s="2" t="inlineStr">
        <is>
          <t>(954) 829-7088</t>
        </is>
      </c>
      <c r="E36" s="2" t="inlineStr">
        <is>
          <t>econoairteamllc.com</t>
        </is>
      </c>
      <c r="F36" s="2" t="inlineStr"/>
      <c r="G36" s="2" t="inlineStr">
        <is>
          <t>New shop (BBB file opened Dec 2025, in business under 6 months), run by Leonardo De la Torre; relies on Thumbtack leads; offers financing.</t>
        </is>
      </c>
      <c r="H36" s="2" t="inlineStr">
        <is>
          <t>weak-web-presence</t>
        </is>
      </c>
      <c r="I36" s="2" t="inlineStr">
        <is>
          <t>https://www.bbb.org/us/fl/pompano-beach/profile/air-conditioning-contractor/econoair-team-llc-0633-92056990</t>
        </is>
      </c>
    </row>
    <row r="37">
      <c r="A37" s="2" t="inlineStr">
        <is>
          <t>Garrison AC Repair</t>
        </is>
      </c>
      <c r="B37" s="2" t="inlineStr">
        <is>
          <t>Fort Lauderdale</t>
        </is>
      </c>
      <c r="C37" s="2" t="inlineStr">
        <is>
          <t>Broward</t>
        </is>
      </c>
      <c r="D37" s="2" t="inlineStr">
        <is>
          <t>(954) 453-7454 (website) / (954) 645-7629 (Yelp)</t>
        </is>
      </c>
      <c r="E37" s="2" t="inlineStr">
        <is>
          <t>garrisonacpompano.com</t>
        </is>
      </c>
      <c r="F37" s="2" t="inlineStr">
        <is>
          <t>20 (5.0)</t>
        </is>
      </c>
      <c r="G37" s="2" t="inlineStr">
        <is>
          <t>Two different phone numbers (Yelp vs website = tracking number); website domain says Pompano while office is 5200 N Federal Hwy Fort Lauderdale; under 60 reviews.</t>
        </is>
      </c>
      <c r="H37" s="2" t="inlineStr">
        <is>
          <t>weak-web-presence</t>
        </is>
      </c>
      <c r="I37" s="2" t="inlineStr">
        <is>
          <t>https://garrisonacpompano.com/</t>
        </is>
      </c>
    </row>
    <row r="38">
      <c r="A38" s="2" t="inlineStr">
        <is>
          <t>JackRabbit Air Conditioning</t>
        </is>
      </c>
      <c r="B38" s="2" t="inlineStr">
        <is>
          <t>Sunrise</t>
        </is>
      </c>
      <c r="C38" s="2" t="inlineStr">
        <is>
          <t>Broward</t>
        </is>
      </c>
      <c r="D38" s="2" t="inlineStr">
        <is>
          <t>(954) 994-7801</t>
        </is>
      </c>
      <c r="E38" s="2" t="inlineStr">
        <is>
          <t>calljackrabbit.com</t>
        </is>
      </c>
      <c r="F38" s="2" t="inlineStr"/>
      <c r="G38" s="2" t="inlineStr">
        <is>
          <t>Husband/wife owned (Tony &amp; Elizabeth Neris), 10+ yrs, Thumbtack/Angi/Houzz presence; FLAG: DBPR shows registered AC license null and void since 08/2023.</t>
        </is>
      </c>
      <c r="H38" s="2" t="inlineStr">
        <is>
          <t>weak-web-presence</t>
        </is>
      </c>
      <c r="I38" s="2" t="inlineStr">
        <is>
          <t>https://www.thumbtack.com/fl/fort-lauderdale/central-air-conditioning-installation/jackrabbit-air-conditioning/service/361764708248895490</t>
        </is>
      </c>
    </row>
    <row r="39">
      <c r="A39" s="2" t="inlineStr">
        <is>
          <t>Klimate Air LLC</t>
        </is>
      </c>
      <c r="B39" s="2" t="inlineStr">
        <is>
          <t>Plantation</t>
        </is>
      </c>
      <c r="C39" s="2" t="inlineStr">
        <is>
          <t>Broward</t>
        </is>
      </c>
      <c r="D39" s="2" t="inlineStr">
        <is>
          <t>(954) 330-7644</t>
        </is>
      </c>
      <c r="E39" s="2" t="inlineStr"/>
      <c r="F39" s="2" t="inlineStr"/>
      <c r="G39" s="2" t="inlineStr">
        <is>
          <t>BBB A+ in Plantation accredited list. No website in snippet.</t>
        </is>
      </c>
      <c r="H39" s="2" t="inlineStr">
        <is>
          <t>broward-west</t>
        </is>
      </c>
      <c r="I39" s="2" t="inlineStr">
        <is>
          <t>https://www.bbb.org/us/fl/plantation/category/air-conditioning-contractor/accredited</t>
        </is>
      </c>
    </row>
    <row r="40">
      <c r="A40" s="2" t="inlineStr">
        <is>
          <t>Mechanical Cooling Air Conditioning &amp; Refrigeration</t>
        </is>
      </c>
      <c r="B40" s="2" t="inlineStr">
        <is>
          <t>Margate</t>
        </is>
      </c>
      <c r="C40" s="2" t="inlineStr">
        <is>
          <t>Broward</t>
        </is>
      </c>
      <c r="D40" s="2" t="inlineStr">
        <is>
          <t>954-397-2527 / 561-594-3621</t>
        </is>
      </c>
      <c r="E40" s="2" t="inlineStr">
        <is>
          <t>mechanicalcoolingac.com</t>
        </is>
      </c>
      <c r="F40" s="2" t="inlineStr"/>
      <c r="G40" s="2" t="inlineStr">
        <is>
          <t>Two phone numbers (Broward/Palm Beach); no street address published online; Nextdoor presence; no review count visible.</t>
        </is>
      </c>
      <c r="H40" s="2" t="inlineStr">
        <is>
          <t>weak-web-presence</t>
        </is>
      </c>
      <c r="I40" s="2" t="inlineStr">
        <is>
          <t>https://mechanicalcoolingac.com/air-conditioning-service-broward-county/</t>
        </is>
      </c>
    </row>
    <row r="41">
      <c r="A41" s="2" t="inlineStr">
        <is>
          <t>Pride Air Conditioning &amp; Plumbing (Pride Air Conditioning &amp; Appliance Inc)</t>
        </is>
      </c>
      <c r="B41" s="2" t="inlineStr">
        <is>
          <t>Pompano Beach</t>
        </is>
      </c>
      <c r="C41" s="2" t="inlineStr">
        <is>
          <t>Broward</t>
        </is>
      </c>
      <c r="D41" s="2" t="inlineStr">
        <is>
          <t>(954) 366-0741</t>
        </is>
      </c>
      <c r="E41" s="2" t="inlineStr">
        <is>
          <t>https://www.prideac.com/</t>
        </is>
      </c>
      <c r="F41" s="2" t="inlineStr"/>
      <c r="G41" s="2" t="inlineStr">
        <is>
          <t>GOOD FIT: President Howard Pearl; 2150 NW 18th St 33069; recently rebranded from 'Appliance' to 'Plumbing' = adding plumbing division; two public numbers (800-955-1086 + 954) = tracking-number clutter; 50+ yrs old, check size (&lt;60 staff?).</t>
        </is>
      </c>
      <c r="H41" s="2" t="inlineStr">
        <is>
          <t>broward-east-north</t>
        </is>
      </c>
      <c r="I41" s="2" t="inlineStr">
        <is>
          <t>https://www.bbb.org/us/fl/pompano-beach/profile/air-conditioning-contractor/pride-air-conditioning-appliance-inc-0633-4004010</t>
        </is>
      </c>
    </row>
    <row r="42">
      <c r="A42" s="2" t="inlineStr">
        <is>
          <t>Ruchard AC Repair LLC</t>
        </is>
      </c>
      <c r="B42" s="2" t="inlineStr">
        <is>
          <t>Lauderdale Lakes</t>
        </is>
      </c>
      <c r="C42" s="2" t="inlineStr">
        <is>
          <t>Broward</t>
        </is>
      </c>
      <c r="D42" s="2" t="inlineStr">
        <is>
          <t>(754) 202-9862 / (754) 366-8110</t>
        </is>
      </c>
      <c r="E42" s="2" t="inlineStr"/>
      <c r="F42" s="2" t="inlineStr"/>
      <c r="G42" s="2" t="inlineStr">
        <is>
          <t>Two different phone numbers across directories; no website found; Yelp-only presence with no visible review count.</t>
        </is>
      </c>
      <c r="H42" s="2" t="inlineStr">
        <is>
          <t>weak-web-presence</t>
        </is>
      </c>
      <c r="I42" s="2" t="inlineStr">
        <is>
          <t>https://www.yelp.com/biz/ruchard-ac-repair-fort-lauderdale</t>
        </is>
      </c>
    </row>
    <row r="43">
      <c r="A43" s="2" t="inlineStr">
        <is>
          <t>Silo Cooling &amp; HVAC</t>
        </is>
      </c>
      <c r="B43" s="2" t="inlineStr">
        <is>
          <t>Dania Beach</t>
        </is>
      </c>
      <c r="C43" s="2" t="inlineStr">
        <is>
          <t>Broward</t>
        </is>
      </c>
      <c r="D43" s="2" t="inlineStr">
        <is>
          <t>(954) 378-7264</t>
        </is>
      </c>
      <c r="E43" s="2" t="inlineStr"/>
      <c r="F43" s="2" t="inlineStr"/>
      <c r="G43" s="2" t="inlineStr">
        <is>
          <t>Est. 2004; Yelp-only presence; no website found; 24/7.</t>
        </is>
      </c>
      <c r="H43" s="2" t="inlineStr">
        <is>
          <t>weak-web-presence</t>
        </is>
      </c>
      <c r="I43" s="2" t="inlineStr">
        <is>
          <t>https://www.yelp.com/biz/silo-cooling-and-hvac-dania-beach</t>
        </is>
      </c>
    </row>
    <row r="44">
      <c r="A44" s="2" t="inlineStr">
        <is>
          <t>Tech Air</t>
        </is>
      </c>
      <c r="B44" s="2" t="inlineStr">
        <is>
          <t>Oakland Park</t>
        </is>
      </c>
      <c r="C44" s="2" t="inlineStr">
        <is>
          <t>Broward</t>
        </is>
      </c>
      <c r="D44" s="2" t="inlineStr">
        <is>
          <t>954-776-6540</t>
        </is>
      </c>
      <c r="E44" s="2" t="inlineStr"/>
      <c r="F44" s="2" t="inlineStr">
        <is>
          <t>Yelp 18; 136 aggregate (4.9)</t>
        </is>
      </c>
      <c r="G44" s="2" t="inlineStr">
        <is>
          <t>Est. 2003, 30+ yrs experience, Bryant dealer; M-F 8-5 only; no own website surfaced (relies on Bryant dealer page and Yelp).</t>
        </is>
      </c>
      <c r="H44" s="2" t="inlineStr">
        <is>
          <t>weak-web-presence</t>
        </is>
      </c>
      <c r="I44" s="2" t="inlineStr">
        <is>
          <t>https://www.yelp.com/biz/tech-air-oakland-park-4</t>
        </is>
      </c>
    </row>
    <row r="45">
      <c r="A45" s="2" t="inlineStr">
        <is>
          <t>Airworx Air Conditioning &amp; Refrigeration, Inc.</t>
        </is>
      </c>
      <c r="B45" s="2" t="inlineStr">
        <is>
          <t>West Palm Beach (8100 Belvedere Rd Ste 7, 33411)</t>
        </is>
      </c>
      <c r="C45" s="2" t="inlineStr">
        <is>
          <t>Palm Beach</t>
        </is>
      </c>
      <c r="D45" s="2" t="inlineStr">
        <is>
          <t>(561) 685-8408</t>
        </is>
      </c>
      <c r="E45" s="2" t="inlineStr">
        <is>
          <t>https://airworxacr.com/</t>
        </is>
      </c>
      <c r="F45" s="2" t="inlineStr"/>
      <c r="G45" s="2" t="inlineStr">
        <is>
          <t>BBB A+; AC + refrigeration; small industrial-suite shop</t>
        </is>
      </c>
      <c r="H45" s="2" t="inlineStr">
        <is>
          <t>palm-beach-north</t>
        </is>
      </c>
      <c r="I45" s="2" t="inlineStr">
        <is>
          <t>https://www.bbb.org/us/fl/west-palm-beach/category/air-conditioning-contractor/accredited</t>
        </is>
      </c>
    </row>
    <row r="46">
      <c r="A46" s="2" t="inlineStr">
        <is>
          <t>All Time Air Conditioning</t>
        </is>
      </c>
      <c r="B46" s="2" t="inlineStr">
        <is>
          <t>Boynton Beach</t>
        </is>
      </c>
      <c r="C46" s="2" t="inlineStr">
        <is>
          <t>Palm Beach</t>
        </is>
      </c>
      <c r="D46" s="2" t="inlineStr">
        <is>
          <t>(561) 777-9888</t>
        </is>
      </c>
      <c r="E46" s="2" t="inlineStr">
        <is>
          <t>https://alltimeairconditioning.com/</t>
        </is>
      </c>
      <c r="F46" s="2" t="inlineStr"/>
      <c r="G46" s="2" t="inlineStr">
        <is>
          <t>Address: 2940 Commerce Park Dr STE 12, Boynton Beach, FL 33426. Family owned &amp; operated since 2010; BBB accredited 2020; Expertise-listed; runs city SEO pages (Royal Palm Beach). Growth-stage shop - good fit.</t>
        </is>
      </c>
      <c r="H46" s="2" t="inlineStr">
        <is>
          <t>palm-beach-south</t>
        </is>
      </c>
      <c r="I46" s="2" t="inlineStr">
        <is>
          <t>https://www.bbb.org/us/fl/boynton-beach/profile/heating-and-air-conditioning/all-time-air-conditioning-0633-90108481</t>
        </is>
      </c>
    </row>
    <row r="47">
      <c r="A47" s="2" t="inlineStr">
        <is>
          <t>Atlantis Air Conditioning Corp</t>
        </is>
      </c>
      <c r="B47" s="2" t="inlineStr">
        <is>
          <t>Lake Worth (1124 N G St, 33460)</t>
        </is>
      </c>
      <c r="C47" s="2" t="inlineStr">
        <is>
          <t>Palm Beach</t>
        </is>
      </c>
      <c r="D47" s="2" t="inlineStr">
        <is>
          <t>(561) 586-1233</t>
        </is>
      </c>
      <c r="E47" s="2" t="inlineStr">
        <is>
          <t>https://atlantisac.com/</t>
        </is>
      </c>
      <c r="F47" s="2" t="inlineStr"/>
      <c r="G47" s="2" t="inlineStr">
        <is>
          <t>Central PBC shop serving Palm Springs/Lake Worth; Palm Beach North Chamber listed</t>
        </is>
      </c>
      <c r="H47" s="2" t="inlineStr">
        <is>
          <t>palm-beach-north</t>
        </is>
      </c>
      <c r="I47" s="2" t="inlineStr">
        <is>
          <t>https://atlantisac.com/palm-springs-air-conditioning/</t>
        </is>
      </c>
    </row>
    <row r="48">
      <c r="A48" s="2" t="inlineStr">
        <is>
          <t>B1A Airconditioning LLC</t>
        </is>
      </c>
      <c r="B48" s="2" t="inlineStr">
        <is>
          <t>Palm Beach Gardens (4371 Northlake Blvd #340, 33410)</t>
        </is>
      </c>
      <c r="C48" s="2" t="inlineStr">
        <is>
          <t>Palm Beach</t>
        </is>
      </c>
      <c r="D48" s="2" t="inlineStr">
        <is>
          <t>(561) 313-2880</t>
        </is>
      </c>
      <c r="E48" s="2" t="inlineStr"/>
      <c r="F48" s="2" t="inlineStr"/>
      <c r="G48" s="2" t="inlineStr">
        <is>
          <t>BBB A+; mailbox-suite address; small/new PBG LLC</t>
        </is>
      </c>
      <c r="H48" s="2" t="inlineStr">
        <is>
          <t>palm-beach-north</t>
        </is>
      </c>
      <c r="I48" s="2" t="inlineStr">
        <is>
          <t>https://www.bbb.org/us/fl/palm-beach-gardens/category/air-conditioning-contractor/accredited</t>
        </is>
      </c>
    </row>
    <row r="49">
      <c r="A49" s="2" t="inlineStr">
        <is>
          <t>Carl's Air Conditioning &amp; Appliance Service, Inc.</t>
        </is>
      </c>
      <c r="B49" s="2" t="inlineStr">
        <is>
          <t>Jupiter (2581 Jupiter Park Dr STE E4, 33458)</t>
        </is>
      </c>
      <c r="C49" s="2" t="inlineStr">
        <is>
          <t>Palm Beach</t>
        </is>
      </c>
      <c r="D49" s="2" t="inlineStr">
        <is>
          <t>(561) 744-6900</t>
        </is>
      </c>
      <c r="E49" s="2" t="inlineStr"/>
      <c r="F49" s="2" t="inlineStr"/>
      <c r="G49" s="2" t="inlineStr">
        <is>
          <t>BBB A+ accredited; AC + appliance mix (borderline fit); small Jupiter industrial-park shop</t>
        </is>
      </c>
      <c r="H49" s="2" t="inlineStr">
        <is>
          <t>palm-beach-north</t>
        </is>
      </c>
      <c r="I49" s="2" t="inlineStr">
        <is>
          <t>https://www.bbb.org/us/fl/jupiter/category/air-conditioning-contractor/accredited</t>
        </is>
      </c>
    </row>
    <row r="50">
      <c r="A50" s="2" t="inlineStr">
        <is>
          <t>Climate Control Services</t>
        </is>
      </c>
      <c r="B50" s="2" t="inlineStr">
        <is>
          <t>Lake Worth (HQ not in snippet)</t>
        </is>
      </c>
      <c r="C50" s="2" t="inlineStr">
        <is>
          <t>Palm Beach</t>
        </is>
      </c>
      <c r="D50" s="2" t="inlineStr">
        <is>
          <t>(561) 408-0367</t>
        </is>
      </c>
      <c r="E50" s="2" t="inlineStr">
        <is>
          <t>https://my-ccs.com/</t>
        </is>
      </c>
      <c r="F50" s="2" t="inlineStr"/>
      <c r="G50" s="2" t="inlineStr">
        <is>
          <t>Serving Palm Beach County since 1973, 'three generations'; same-day 7 days, no overtime charges. Third-generation family shop with city SEO pages (Lake Worth, Boynton).</t>
        </is>
      </c>
      <c r="H50" s="2" t="inlineStr">
        <is>
          <t>palm-beach-south</t>
        </is>
      </c>
      <c r="I50" s="2" t="inlineStr">
        <is>
          <t>https://my-ccs.com/ac-repair-lake-worth-fl/</t>
        </is>
      </c>
    </row>
    <row r="51">
      <c r="A51" s="2" t="inlineStr">
        <is>
          <t>Cold Air 4 U</t>
        </is>
      </c>
      <c r="B51" s="2" t="inlineStr"/>
      <c r="C51" s="2" t="inlineStr">
        <is>
          <t>Palm Beach</t>
        </is>
      </c>
      <c r="D51" s="2" t="inlineStr">
        <is>
          <t>(561) 366-7079</t>
        </is>
      </c>
      <c r="E51" s="2" t="inlineStr">
        <is>
          <t>https://coldair4u.com/</t>
        </is>
      </c>
      <c r="F51" s="2" t="inlineStr"/>
      <c r="G51" s="2" t="inlineStr">
        <is>
          <t>30+ yrs residential/commercial, serves Lake Park; dated keyword-style website</t>
        </is>
      </c>
      <c r="H51" s="2" t="inlineStr">
        <is>
          <t>palm-beach-north</t>
        </is>
      </c>
      <c r="I51" s="2" t="inlineStr">
        <is>
          <t>https://coldair4u.com/air-conditioning-contractor-lake-park-fl/</t>
        </is>
      </c>
    </row>
    <row r="52">
      <c r="A52" s="2" t="inlineStr">
        <is>
          <t>Cool Air Experts</t>
        </is>
      </c>
      <c r="B52" s="2" t="inlineStr">
        <is>
          <t>Boynton Beach</t>
        </is>
      </c>
      <c r="C52" s="2" t="inlineStr">
        <is>
          <t>Palm Beach</t>
        </is>
      </c>
      <c r="D52" s="2" t="inlineStr">
        <is>
          <t>561-621-3993</t>
        </is>
      </c>
      <c r="E52" s="2" t="inlineStr">
        <is>
          <t>https://coolairxpert.com/</t>
        </is>
      </c>
      <c r="F52" s="2" t="inlineStr"/>
      <c r="G52" s="2" t="inlineStr">
        <is>
          <t>'Local. Family Owned. Trusted.' full-service 24/7 HVAC contractor based in Boynton Beach; calls itself 'Boynton's #1'. Domain misspelled (xpert) - likely DIY marketing. Audit license #, reviews, booking.</t>
        </is>
      </c>
      <c r="H52" s="2" t="inlineStr">
        <is>
          <t>palm-beach-south</t>
        </is>
      </c>
      <c r="I52" s="2" t="inlineStr">
        <is>
          <t>https://coolairxpert.com/</t>
        </is>
      </c>
    </row>
    <row r="53">
      <c r="A53" s="2" t="inlineStr">
        <is>
          <t>Dove Air Conditioning &amp; Refrigeration</t>
        </is>
      </c>
      <c r="B53" s="2" t="inlineStr">
        <is>
          <t>Jupiter</t>
        </is>
      </c>
      <c r="C53" s="2" t="inlineStr">
        <is>
          <t>Palm Beach</t>
        </is>
      </c>
      <c r="D53" s="2" t="inlineStr">
        <is>
          <t>561-746-3757</t>
        </is>
      </c>
      <c r="E53" s="2" t="inlineStr">
        <is>
          <t>http://doveac.com/</t>
        </is>
      </c>
      <c r="F53" s="2" t="inlineStr"/>
      <c r="G53" s="2" t="inlineStr">
        <is>
          <t>Family-owned since 1994, HVAC + refrigeration, building per-city SEO pages (Jupiter, Juno Beach, WPB) so investing in marketing; check for maintenance plan/online booking</t>
        </is>
      </c>
      <c r="H53" s="2" t="inlineStr">
        <is>
          <t>palm-beach-north</t>
        </is>
      </c>
      <c r="I53" s="2" t="inlineStr">
        <is>
          <t>http://doveac.com/jupiter/</t>
        </is>
      </c>
    </row>
    <row r="54">
      <c r="A54" s="2" t="inlineStr">
        <is>
          <t>Elite Electric, Plumbing &amp; Air, Inc.</t>
        </is>
      </c>
      <c r="B54" s="2" t="inlineStr">
        <is>
          <t>Jupiter (2581 Jupiter Park Dr Ste F9, 33458)</t>
        </is>
      </c>
      <c r="C54" s="2" t="inlineStr">
        <is>
          <t>Palm Beach</t>
        </is>
      </c>
      <c r="D54" s="2" t="inlineStr">
        <is>
          <t>(561) 407-0530</t>
        </is>
      </c>
      <c r="E54" s="2" t="inlineStr">
        <is>
          <t>https://www.eliteelectricandair.com/</t>
        </is>
      </c>
      <c r="F54" s="2" t="inlineStr"/>
      <c r="G54" s="2" t="inlineStr">
        <is>
          <t>X-borderline: family-owned since 1988, HVAC + plumbing + electrical, BBB A+, but likely over 60 employees</t>
        </is>
      </c>
      <c r="H54" s="2" t="inlineStr">
        <is>
          <t>palm-beach-north</t>
        </is>
      </c>
      <c r="I54" s="2" t="inlineStr">
        <is>
          <t>https://www.bbb.org/us/fl/jupiter/category/air-conditioning-contractor/accredited</t>
        </is>
      </c>
    </row>
    <row r="55">
      <c r="A55" s="2" t="inlineStr">
        <is>
          <t>Florida Cool</t>
        </is>
      </c>
      <c r="B55" s="2" t="inlineStr">
        <is>
          <t>Boca Raton</t>
        </is>
      </c>
      <c r="C55" s="2" t="inlineStr">
        <is>
          <t>Palm Beach</t>
        </is>
      </c>
      <c r="D55" s="2" t="inlineStr">
        <is>
          <t>(561) 264-5286</t>
        </is>
      </c>
      <c r="E55" s="2" t="inlineStr">
        <is>
          <t>https://www.floridacool.com/</t>
        </is>
      </c>
      <c r="F55" s="2" t="inlineStr"/>
      <c r="G55" s="2" t="inlineStr">
        <is>
          <t>Family-owned HVAC (repair/install/maintenance), same-day service, Boca-based. No founding year, license #, or review count visible in snippet - audit site for CAC #, booking, maintenance plan.</t>
        </is>
      </c>
      <c r="H55" s="2" t="inlineStr">
        <is>
          <t>palm-beach-south</t>
        </is>
      </c>
      <c r="I55" s="2" t="inlineStr">
        <is>
          <t>https://www.floridacool.com/</t>
        </is>
      </c>
    </row>
    <row r="56">
      <c r="A56" s="2" t="inlineStr">
        <is>
          <t>Island Air Conditioning</t>
        </is>
      </c>
      <c r="B56" s="2" t="inlineStr">
        <is>
          <t>Delray Beach</t>
        </is>
      </c>
      <c r="C56" s="2" t="inlineStr">
        <is>
          <t>Palm Beach</t>
        </is>
      </c>
      <c r="D56" s="2" t="inlineStr">
        <is>
          <t>561-278-3488</t>
        </is>
      </c>
      <c r="E56" s="2" t="inlineStr">
        <is>
          <t>https://www.islandairconditioning.com/</t>
        </is>
      </c>
      <c r="F56" s="2" t="inlineStr"/>
      <c r="G56" s="2" t="inlineStr">
        <is>
          <t>Address: 135 S Congress Ave, Delray Beach, FL 33445. Family-owned, replacement/repair/service across Delray, Boca, Palm Beach. Simple site; audit for CAC #, booking, maintenance plan.</t>
        </is>
      </c>
      <c r="H56" s="2" t="inlineStr">
        <is>
          <t>palm-beach-south</t>
        </is>
      </c>
      <c r="I56" s="2" t="inlineStr">
        <is>
          <t>https://www.islandairconditioning.com/</t>
        </is>
      </c>
    </row>
    <row r="57">
      <c r="A57" s="2" t="inlineStr">
        <is>
          <t>Kyzar Air Conditioning</t>
        </is>
      </c>
      <c r="B57" s="2" t="inlineStr">
        <is>
          <t>West Palm Beach</t>
        </is>
      </c>
      <c r="C57" s="2" t="inlineStr">
        <is>
          <t>Palm Beach</t>
        </is>
      </c>
      <c r="D57" s="2" t="inlineStr">
        <is>
          <t>(561) 640-1000</t>
        </is>
      </c>
      <c r="E57" s="2" t="inlineStr">
        <is>
          <t>https://kyzarairconditioning.com/</t>
        </is>
      </c>
      <c r="F57" s="2" t="inlineStr">
        <is>
          <t>Google 5.0 (2,764)</t>
        </is>
      </c>
      <c r="G57" s="2" t="inlineStr">
        <is>
          <t>X-borderline: family-owned since 2005 and says not PE, but 2,764 reviews and WPB + Port St. Lucie locations = likely over 60 staff</t>
        </is>
      </c>
      <c r="H57" s="2" t="inlineStr">
        <is>
          <t>palm-beach-north</t>
        </is>
      </c>
      <c r="I57" s="2" t="inlineStr">
        <is>
          <t>https://kyzarairconditioning.com/service-areas/ac-repair-north-palm-beach-fl/</t>
        </is>
      </c>
    </row>
    <row r="58">
      <c r="A58" s="2" t="inlineStr">
        <is>
          <t>LMI Air Services, LLC</t>
        </is>
      </c>
      <c r="B58" s="2" t="inlineStr">
        <is>
          <t>North Palm Beach (424 Prosperity Farms Rd, 33408)</t>
        </is>
      </c>
      <c r="C58" s="2" t="inlineStr">
        <is>
          <t>Palm Beach</t>
        </is>
      </c>
      <c r="D58" s="2" t="inlineStr">
        <is>
          <t>(561) 373-4075</t>
        </is>
      </c>
      <c r="E58" s="2" t="inlineStr"/>
      <c r="F58" s="2" t="inlineStr"/>
      <c r="G58" s="2" t="inlineStr">
        <is>
          <t>BBB A+; small North Palm Beach LLC; no website surfaced</t>
        </is>
      </c>
      <c r="H58" s="2" t="inlineStr">
        <is>
          <t>palm-beach-north</t>
        </is>
      </c>
      <c r="I58" s="2" t="inlineStr">
        <is>
          <t>https://www.bbb.org/us/fl/palm-beach-gardens/category/air-conditioning-contractor/accredited</t>
        </is>
      </c>
    </row>
    <row r="59">
      <c r="A59" s="2" t="inlineStr">
        <is>
          <t>Next Level Air Conditioning</t>
        </is>
      </c>
      <c r="B59" s="2" t="inlineStr">
        <is>
          <t>Greenacres</t>
        </is>
      </c>
      <c r="C59" s="2" t="inlineStr">
        <is>
          <t>Palm Beach</t>
        </is>
      </c>
      <c r="D59" s="2" t="inlineStr">
        <is>
          <t>(954) 687-7199</t>
        </is>
      </c>
      <c r="E59" s="2" t="inlineStr">
        <is>
          <t>https://www.nextlevelairconditioning.com/</t>
        </is>
      </c>
      <c r="F59" s="2" t="inlineStr"/>
      <c r="G59" s="2" t="inlineStr">
        <is>
          <t>Family-owned, based in Greenacres, since 2016; serves Greenacres, Lake Worth, Palm Springs, Lantana. Weak-systems flag: 954 (Broward) phone on a Palm Beach company - old cell or tracking line.</t>
        </is>
      </c>
      <c r="H59" s="2" t="inlineStr">
        <is>
          <t>palm-beach-south</t>
        </is>
      </c>
      <c r="I59" s="2" t="inlineStr">
        <is>
          <t>https://www.nextlevelairconditioning.com/</t>
        </is>
      </c>
    </row>
    <row r="60">
      <c r="A60" s="2" t="inlineStr">
        <is>
          <t>Sailfish Mechanical LLC</t>
        </is>
      </c>
      <c r="B60" s="2" t="inlineStr">
        <is>
          <t>Jupiter (711 Commerce Way Ste 5, 33458)</t>
        </is>
      </c>
      <c r="C60" s="2" t="inlineStr">
        <is>
          <t>Palm Beach</t>
        </is>
      </c>
      <c r="D60" s="2" t="inlineStr">
        <is>
          <t>(561) 203-5807</t>
        </is>
      </c>
      <c r="E60" s="2" t="inlineStr"/>
      <c r="F60" s="2" t="inlineStr"/>
      <c r="G60" s="2" t="inlineStr">
        <is>
          <t>Palm Beach North Chamber AC/Heating/Refrigeration member; small Jupiter LLC</t>
        </is>
      </c>
      <c r="H60" s="2" t="inlineStr">
        <is>
          <t>palm-beach-north</t>
        </is>
      </c>
      <c r="I60" s="2" t="inlineStr">
        <is>
          <t>http://members.npbchamber.com/list/category/air-conditioning-heating-refrigeration-71</t>
        </is>
      </c>
    </row>
    <row r="61">
      <c r="A61" s="2" t="inlineStr">
        <is>
          <t>Service Experts West Palm Beach</t>
        </is>
      </c>
      <c r="B61" s="2" t="inlineStr">
        <is>
          <t>West Palm Beach (1400 Northpoint Pkwy Ste 20, 33407)</t>
        </is>
      </c>
      <c r="C61" s="2" t="inlineStr">
        <is>
          <t>Palm Beach</t>
        </is>
      </c>
      <c r="D61" s="2" t="inlineStr">
        <is>
          <t>(561) 881-5341</t>
        </is>
      </c>
      <c r="E61" s="2" t="inlineStr"/>
      <c r="F61" s="2" t="inlineStr"/>
      <c r="G61" s="2" t="inlineStr">
        <is>
          <t>X: national corporate chain</t>
        </is>
      </c>
      <c r="H61" s="2" t="inlineStr">
        <is>
          <t>palm-beach-north</t>
        </is>
      </c>
      <c r="I61" s="2" t="inlineStr">
        <is>
          <t>https://www.bbb.org/us/fl/west-palm-beach/profile/air-conditioning-contractor/service-experts-west-palm-beach-0633-5500</t>
        </is>
      </c>
    </row>
    <row r="62">
      <c r="A62" s="2" t="inlineStr">
        <is>
          <t>Shoreline Air Conditioning</t>
        </is>
      </c>
      <c r="B62" s="2" t="inlineStr"/>
      <c r="C62" s="2" t="inlineStr">
        <is>
          <t>Palm Beach</t>
        </is>
      </c>
      <c r="D62" s="2" t="inlineStr">
        <is>
          <t>(561) 225-2344</t>
        </is>
      </c>
      <c r="E62" s="2" t="inlineStr">
        <is>
          <t>https://shorelineac.com/</t>
        </is>
      </c>
      <c r="F62" s="2" t="inlineStr"/>
      <c r="G62" s="2" t="inlineStr">
        <is>
          <t>Locally-owned, 35+ yrs, residential + commercial, serves PBG/N Palm Beach/Riviera; HQ city not confirmed</t>
        </is>
      </c>
      <c r="H62" s="2" t="inlineStr">
        <is>
          <t>palm-beach-north</t>
        </is>
      </c>
      <c r="I62" s="2" t="inlineStr">
        <is>
          <t>https://shorelineac.com/areas-we-serve/north-palm-beach/</t>
        </is>
      </c>
    </row>
    <row r="63">
      <c r="A63" s="2" t="inlineStr">
        <is>
          <t>Smyth Air Conditioning Inc</t>
        </is>
      </c>
      <c r="B63" s="2" t="inlineStr">
        <is>
          <t>Lake Worth</t>
        </is>
      </c>
      <c r="C63" s="2" t="inlineStr">
        <is>
          <t>Palm Beach</t>
        </is>
      </c>
      <c r="D63" s="2" t="inlineStr">
        <is>
          <t>561-533-6066</t>
        </is>
      </c>
      <c r="E63" s="2" t="inlineStr">
        <is>
          <t>https://www.coolingpalmbeach.com/</t>
        </is>
      </c>
      <c r="F63" s="2" t="inlineStr"/>
      <c r="G63" s="2" t="inlineStr">
        <is>
          <t>Address: 3718 23rd Ave S, Lake Worth, FL 33461. Family-owned and operated since 1987; generic domain (coolingpalmbeach.com) and small footprint - audit site for booking, reviews, CAC #.</t>
        </is>
      </c>
      <c r="H63" s="2" t="inlineStr">
        <is>
          <t>palm-beach-south</t>
        </is>
      </c>
      <c r="I63" s="2" t="inlineStr">
        <is>
          <t>https://www.coolingpalmbeach.com/</t>
        </is>
      </c>
    </row>
    <row r="64">
      <c r="A64" s="2" t="inlineStr">
        <is>
          <t>Square AC, Inc</t>
        </is>
      </c>
      <c r="B64" s="2" t="inlineStr">
        <is>
          <t>Jupiter (5500 Military Trl Ste 22-318, 33458)</t>
        </is>
      </c>
      <c r="C64" s="2" t="inlineStr">
        <is>
          <t>Palm Beach</t>
        </is>
      </c>
      <c r="D64" s="2" t="inlineStr">
        <is>
          <t>(772) 882-5320</t>
        </is>
      </c>
      <c r="E64" s="2" t="inlineStr"/>
      <c r="F64" s="2" t="inlineStr"/>
      <c r="G64" s="2" t="inlineStr">
        <is>
          <t>BBB A+; mailbox-suite address and 772 number suggest new/small shop</t>
        </is>
      </c>
      <c r="H64" s="2" t="inlineStr">
        <is>
          <t>palm-beach-north</t>
        </is>
      </c>
      <c r="I64" s="2" t="inlineStr">
        <is>
          <t>https://www.bbb.org/us/fl/jupiter/category/air-conditioning-contractor/accredited</t>
        </is>
      </c>
    </row>
    <row r="65">
      <c r="A65" s="2" t="inlineStr">
        <is>
          <t>Temperature Control Solutions Inc</t>
        </is>
      </c>
      <c r="B65" s="2" t="inlineStr">
        <is>
          <t>Palm Springs (3113 Lake Worth Rd, 33461)</t>
        </is>
      </c>
      <c r="C65" s="2" t="inlineStr">
        <is>
          <t>Palm Beach</t>
        </is>
      </c>
      <c r="D65" s="2" t="inlineStr">
        <is>
          <t>(561) 819-4554</t>
        </is>
      </c>
      <c r="E65" s="2" t="inlineStr">
        <is>
          <t>https://tcspalmbeach.com/</t>
        </is>
      </c>
      <c r="F65" s="2" t="inlineStr"/>
      <c r="G65" s="2" t="inlineStr">
        <is>
          <t>BBB accredited since 2019 (newer shop), res + commercial, mini-splits; central PBC</t>
        </is>
      </c>
      <c r="H65" s="2" t="inlineStr">
        <is>
          <t>palm-beach-north</t>
        </is>
      </c>
      <c r="I65" s="2" t="inlineStr">
        <is>
          <t>https://www.bbb.org/us/fl/palm-springs/profile/air-conditioning-contractor/temperature-control-solutions-inc-0633-90538622</t>
        </is>
      </c>
    </row>
    <row r="66">
      <c r="A66" s="2" t="inlineStr">
        <is>
          <t>Air Murphy AC &amp; Refrigeration</t>
        </is>
      </c>
      <c r="B66" s="2" t="inlineStr"/>
      <c r="C66" s="2" t="inlineStr">
        <is>
          <t>Broward (unverified)</t>
        </is>
      </c>
      <c r="D66" s="2" t="inlineStr">
        <is>
          <t>(954) 424-7499</t>
        </is>
      </c>
      <c r="E66" s="2" t="inlineStr">
        <is>
          <t>https://www.airmurphyac.com/</t>
        </is>
      </c>
      <c r="F66" s="2" t="inlineStr"/>
      <c r="G66" s="2" t="inlineStr">
        <is>
          <t>FIT (commercial): since 1992, state Class A licensed, commercial refrigeration + AC; HQ city not confirmed (954-424 is a Davie/Plantation exchange).</t>
        </is>
      </c>
      <c r="H66" s="2" t="inlineStr">
        <is>
          <t>broward-east-north</t>
        </is>
      </c>
      <c r="I66" s="2" t="inlineStr">
        <is>
          <t>https://www.airmurphyac.com/FL/Oakland-Park-hvac.html</t>
        </is>
      </c>
    </row>
    <row r="67">
      <c r="A67" s="2" t="inlineStr">
        <is>
          <t>DM Cold Air (DM Air Conditioning)</t>
        </is>
      </c>
      <c r="B67" s="2" t="inlineStr">
        <is>
          <t>Boca Raton listed; 954 phone suggests Broward HQ - verify</t>
        </is>
      </c>
      <c r="C67" s="2" t="inlineStr">
        <is>
          <t>Palm Beach (verify)</t>
        </is>
      </c>
      <c r="D67" s="2" t="inlineStr">
        <is>
          <t>(954) 304-0187</t>
        </is>
      </c>
      <c r="E67" s="2" t="inlineStr">
        <is>
          <t>https://dmcoldair.com/</t>
        </is>
      </c>
      <c r="F67" s="2" t="inlineStr"/>
      <c r="G67" s="2" t="inlineStr">
        <is>
          <t>Family-owned, 20+ years, 'South Florida'. Possibly out-of-area (Broward); only call if HQ confirms Palm Beach County.</t>
        </is>
      </c>
      <c r="H67" s="2" t="inlineStr">
        <is>
          <t>palm-beach-south</t>
        </is>
      </c>
      <c r="I67" s="2" t="inlineStr">
        <is>
          <t>https://dmcoldair.com/</t>
        </is>
      </c>
    </row>
    <row r="68">
      <c r="A68" s="2" t="inlineStr">
        <is>
          <t>Freezing Mechanical</t>
        </is>
      </c>
      <c r="B68" s="2" t="inlineStr"/>
      <c r="C68" s="2" t="inlineStr">
        <is>
          <t>Broward (unverified)</t>
        </is>
      </c>
      <c r="D68" s="2" t="inlineStr">
        <is>
          <t>(954) 433-6817</t>
        </is>
      </c>
      <c r="E68" s="2" t="inlineStr">
        <is>
          <t>https://freezingmechanical.com/</t>
        </is>
      </c>
      <c r="F68" s="2" t="inlineStr"/>
      <c r="G68" s="2" t="inlineStr">
        <is>
          <t>FIT: 25+ yrs, Dania/Wilton Manors pages; HQ city not confirmed (954-433 is a Pembroke Pines exchange).</t>
        </is>
      </c>
      <c r="H68" s="2" t="inlineStr">
        <is>
          <t>broward-east-north</t>
        </is>
      </c>
      <c r="I68" s="2" t="inlineStr">
        <is>
          <t>https://freezingmechanical.com/about/service-area/dania-beach/</t>
        </is>
      </c>
    </row>
    <row r="69">
      <c r="A69" s="2" t="inlineStr">
        <is>
          <t>Above Air, Inc.</t>
        </is>
      </c>
      <c r="B69" s="2" t="inlineStr">
        <is>
          <t>Deerfield Beach</t>
        </is>
      </c>
      <c r="C69" s="2" t="inlineStr">
        <is>
          <t>Broward</t>
        </is>
      </c>
      <c r="D69" s="2" t="inlineStr"/>
      <c r="E69" s="2" t="inlineStr"/>
      <c r="F69" s="2" t="inlineStr"/>
      <c r="G69" s="2" t="inlineStr">
        <is>
          <t>HIRING NOW: residential/light-commercial HVAC service techs, take-home vehicles = growing fleet; phone/owner not in snippets.</t>
        </is>
      </c>
      <c r="H69" s="2" t="inlineStr">
        <is>
          <t>broward-east-north</t>
        </is>
      </c>
      <c r="I69" s="2" t="inlineStr">
        <is>
          <t>https://www.indeed.com/q-hvac-l-deerfield-beach,-fl-jobs.html</t>
        </is>
      </c>
    </row>
    <row r="70">
      <c r="A70" s="2" t="inlineStr">
        <is>
          <t>Abraham AC</t>
        </is>
      </c>
      <c r="B70" s="2" t="inlineStr">
        <is>
          <t>Oakland Park</t>
        </is>
      </c>
      <c r="C70" s="2" t="inlineStr">
        <is>
          <t>Broward</t>
        </is>
      </c>
      <c r="D70" s="2" t="inlineStr"/>
      <c r="E70" s="2" t="inlineStr">
        <is>
          <t>https://abrahamac.com/</t>
        </is>
      </c>
      <c r="F70" s="2" t="inlineStr"/>
      <c r="G70" s="2" t="inlineStr">
        <is>
          <t>FIT: Oakland Park-based, city SEO pages for Hallandale/Dania/Oakland Park; no phone/owner in snippets.</t>
        </is>
      </c>
      <c r="H70" s="2" t="inlineStr">
        <is>
          <t>broward-east-north</t>
        </is>
      </c>
      <c r="I70" s="2" t="inlineStr">
        <is>
          <t>https://abrahamac.com/service-areas/oakland-park/</t>
        </is>
      </c>
    </row>
    <row r="71">
      <c r="A71" s="2" t="inlineStr">
        <is>
          <t>Air I Am Inc</t>
        </is>
      </c>
      <c r="B71" s="2" t="inlineStr">
        <is>
          <t>Deerfield Beach</t>
        </is>
      </c>
      <c r="C71" s="2" t="inlineStr">
        <is>
          <t>Broward</t>
        </is>
      </c>
      <c r="D71" s="2" t="inlineStr"/>
      <c r="E71" s="2" t="inlineStr"/>
      <c r="F71" s="2" t="inlineStr"/>
      <c r="G71" s="2" t="inlineStr">
        <is>
          <t>HIRING NOW: residential HVAC service techs at $20-40/hr = scaling; phone/owner not in snippets.</t>
        </is>
      </c>
      <c r="H71" s="2" t="inlineStr">
        <is>
          <t>broward-east-north</t>
        </is>
      </c>
      <c r="I71" s="2" t="inlineStr">
        <is>
          <t>https://www.indeed.com/q-hvac-l-deerfield-beach,-fl-jobs.html</t>
        </is>
      </c>
    </row>
    <row r="72">
      <c r="A72" s="2" t="inlineStr">
        <is>
          <t>Air South Mechanical, Inc.</t>
        </is>
      </c>
      <c r="B72" s="2" t="inlineStr">
        <is>
          <t>Pompano Beach</t>
        </is>
      </c>
      <c r="C72" s="2" t="inlineStr">
        <is>
          <t>Broward</t>
        </is>
      </c>
      <c r="D72" s="2" t="inlineStr"/>
      <c r="E72" s="2" t="inlineStr"/>
      <c r="F72" s="2" t="inlineStr"/>
      <c r="G72" s="2" t="inlineStr">
        <is>
          <t>HIRING NOW: commercial HVAC techs $27-46/hr; commercial-only shop, check size before calling.</t>
        </is>
      </c>
      <c r="H72" s="2" t="inlineStr">
        <is>
          <t>broward-east-north</t>
        </is>
      </c>
      <c r="I72" s="2" t="inlineStr">
        <is>
          <t>https://www.indeed.com/q-hvac-technician-l-pompano-beach,-fl-jobs.html</t>
        </is>
      </c>
    </row>
    <row r="73">
      <c r="A73" s="2" t="inlineStr">
        <is>
          <t>Air Time Services, Inc.</t>
        </is>
      </c>
      <c r="B73" s="2" t="inlineStr">
        <is>
          <t>Pompano Beach</t>
        </is>
      </c>
      <c r="C73" s="2" t="inlineStr">
        <is>
          <t>Broward</t>
        </is>
      </c>
      <c r="D73" s="2" t="inlineStr"/>
      <c r="E73" s="2" t="inlineStr"/>
      <c r="F73" s="2" t="inlineStr"/>
      <c r="G73" s="2" t="inlineStr">
        <is>
          <t>FIT: BBB accreditation only since 3/28/2025 = owner actively investing in credibility now; no website surfaced.</t>
        </is>
      </c>
      <c r="H73" s="2" t="inlineStr">
        <is>
          <t>broward-east-north</t>
        </is>
      </c>
      <c r="I73" s="2" t="inlineStr">
        <is>
          <t>https://www.bbb.org/us/fl/pompano-beach/profile/air-conditioning-contractor/air-time-services-inc-0633-90589908</t>
        </is>
      </c>
    </row>
    <row r="74">
      <c r="A74" s="2" t="inlineStr">
        <is>
          <t>Air Today USA</t>
        </is>
      </c>
      <c r="B74" s="2" t="inlineStr">
        <is>
          <t>Plantation / Sunrise / Tamarac area</t>
        </is>
      </c>
      <c r="C74" s="2" t="inlineStr">
        <is>
          <t>Broward</t>
        </is>
      </c>
      <c r="D74" s="2" t="inlineStr"/>
      <c r="E74" s="2" t="inlineStr">
        <is>
          <t>http://www.airtodayusa.com</t>
        </is>
      </c>
      <c r="F74" s="2" t="inlineStr"/>
      <c r="G74" s="2" t="inlineStr">
        <is>
          <t>Apollo free lookup (keyword, 1-50 employees, HQ Plantation/Sunrise/Lauderhill/Tamarac/Lauderdale Lakes/N. Lauderdale). Apollo record created Feb 2026 = likely new or newly scaling shop in the consultant's home chambers' footprint.</t>
        </is>
      </c>
      <c r="H74" s="2" t="inlineStr">
        <is>
          <t>chambers-networks</t>
        </is>
      </c>
      <c r="I74" s="2" t="inlineStr">
        <is>
          <t>http://www.airtodayusa.com</t>
        </is>
      </c>
    </row>
    <row r="75">
      <c r="A75" s="2" t="inlineStr">
        <is>
          <t>Alpine Air Conditioning, Inc.</t>
        </is>
      </c>
      <c r="B75" s="2" t="inlineStr">
        <is>
          <t>Davie</t>
        </is>
      </c>
      <c r="C75" s="2" t="inlineStr">
        <is>
          <t>Broward</t>
        </is>
      </c>
      <c r="D75" s="2" t="inlineStr"/>
      <c r="E75" s="2" t="inlineStr"/>
      <c r="F75" s="2" t="inlineStr"/>
      <c r="G75" s="2" t="inlineStr">
        <is>
          <t>STRONG FIT: owner-operated 20+ yrs; founder Joseph LoManto personally handles installs/replacements (owner in the field). Phone not in snippet.</t>
        </is>
      </c>
      <c r="H75" s="2" t="inlineStr">
        <is>
          <t>broward-west</t>
        </is>
      </c>
      <c r="I75" s="2" t="inlineStr">
        <is>
          <t>https://www.expertise.com/home-improvement/hvac/florida/davie</t>
        </is>
      </c>
    </row>
    <row r="76">
      <c r="A76" s="2" t="inlineStr">
        <is>
          <t>Ami Air Conditioning</t>
        </is>
      </c>
      <c r="B76" s="2" t="inlineStr">
        <is>
          <t>Davie</t>
        </is>
      </c>
      <c r="C76" s="2" t="inlineStr">
        <is>
          <t>Broward</t>
        </is>
      </c>
      <c r="D76" s="2" t="inlineStr"/>
      <c r="E76" s="2" t="inlineStr"/>
      <c r="F76" s="2" t="inlineStr">
        <is>
          <t>Angi 4.7</t>
        </is>
      </c>
      <c r="G76" s="2" t="inlineStr">
        <is>
          <t>HIRING NOW: Indeed posting for service techs &amp; installers $18-32/hr (Plantation). Family owned since 1970 (3rd generation likely); 55-year-old shop = legacy systems/processes.</t>
        </is>
      </c>
      <c r="H76" s="2" t="inlineStr">
        <is>
          <t>broward-west</t>
        </is>
      </c>
      <c r="I76" s="2" t="inlineStr">
        <is>
          <t>https://www.yelp.com/biz/ami-air-conditioning-davie</t>
        </is>
      </c>
    </row>
    <row r="77">
      <c r="A77" s="2" t="inlineStr">
        <is>
          <t>Brisk Air</t>
        </is>
      </c>
      <c r="B77" s="2" t="inlineStr">
        <is>
          <t>Miramar</t>
        </is>
      </c>
      <c r="C77" s="2" t="inlineStr">
        <is>
          <t>Broward</t>
        </is>
      </c>
      <c r="D77" s="2" t="inlineStr"/>
      <c r="E77" s="2" t="inlineStr">
        <is>
          <t>briskaircool.com</t>
        </is>
      </c>
      <c r="F77" s="2" t="inlineStr"/>
      <c r="G77" s="2" t="inlineStr">
        <is>
          <t>Owners named Andy and Jackie (husband/wife family operation); locally owned, founded 1972; programmatic city pages for Miramar/SW Ranches. Phone not in snippet.</t>
        </is>
      </c>
      <c r="H77" s="2" t="inlineStr">
        <is>
          <t>broward-west</t>
        </is>
      </c>
      <c r="I77" s="2" t="inlineStr">
        <is>
          <t>https://briskaircool.com/air-conditioning-company-miramar-fl/</t>
        </is>
      </c>
    </row>
    <row r="78">
      <c r="A78" s="2" t="inlineStr">
        <is>
          <t>C.A. Mechanical</t>
        </is>
      </c>
      <c r="B78" s="2" t="inlineStr">
        <is>
          <t>Coconut Creek</t>
        </is>
      </c>
      <c r="C78" s="2" t="inlineStr">
        <is>
          <t>Broward</t>
        </is>
      </c>
      <c r="D78" s="2" t="inlineStr"/>
      <c r="E78" s="2" t="inlineStr">
        <is>
          <t>http://www.camechan.com</t>
        </is>
      </c>
      <c r="F78" s="2" t="inlineStr"/>
      <c r="G78" s="2" t="inlineStr">
        <is>
          <t>GROWTH: +10%/12 mo; tagged HVAC + refrigeration, NAICS 23822; 1-10 employees; Apollo record Dec 2022 = likely 2022-era startup now hiring.</t>
        </is>
      </c>
      <c r="H78" s="2" t="inlineStr">
        <is>
          <t>transition-signals</t>
        </is>
      </c>
      <c r="I78" s="2" t="inlineStr">
        <is>
          <t>https://app.apollo.io/#/organizations/63939d504c3bca00012720bd</t>
        </is>
      </c>
    </row>
    <row r="79">
      <c r="A79" s="2" t="inlineStr">
        <is>
          <t>Certified HVAC, Inc.</t>
        </is>
      </c>
      <c r="B79" s="2" t="inlineStr">
        <is>
          <t>Pompano Beach</t>
        </is>
      </c>
      <c r="C79" s="2" t="inlineStr">
        <is>
          <t>Broward</t>
        </is>
      </c>
      <c r="D79" s="2" t="inlineStr"/>
      <c r="E79" s="2" t="inlineStr">
        <is>
          <t>http://www.certhvac.com</t>
        </is>
      </c>
      <c r="F79" s="2" t="inlineStr"/>
      <c r="G79" s="2" t="inlineStr">
        <is>
          <t>GROWTH: Apollo flags headcount +10% or more over last 12 months; tagged HVAC + plumbing + refrigeration (NAICS 23822) = multi-trade; 1-10 employee bucket; Apollo record first created Jan 2024 (possible 2023-24 startup now hiring). Top-tier call.</t>
        </is>
      </c>
      <c r="H79" s="2" t="inlineStr">
        <is>
          <t>transition-signals</t>
        </is>
      </c>
      <c r="I79" s="2" t="inlineStr">
        <is>
          <t>https://app.apollo.io/#/organizations/659d0cb5c85ec304394835dc</t>
        </is>
      </c>
    </row>
    <row r="80">
      <c r="A80" s="2" t="inlineStr">
        <is>
          <t>Cooling FX</t>
        </is>
      </c>
      <c r="B80" s="2" t="inlineStr">
        <is>
          <t>Fort Lauderdale</t>
        </is>
      </c>
      <c r="C80" s="2" t="inlineStr">
        <is>
          <t>Broward</t>
        </is>
      </c>
      <c r="D80" s="2" t="inlineStr"/>
      <c r="E80" s="2" t="inlineStr">
        <is>
          <t>https://www.coolingfx.com/</t>
        </is>
      </c>
      <c r="F80" s="2" t="inlineStr"/>
      <c r="G80" s="2" t="inlineStr">
        <is>
          <t>FIT: Fort Lauderdale AC repair shop on Expertise list; no owner/phone in snippets.</t>
        </is>
      </c>
      <c r="H80" s="2" t="inlineStr">
        <is>
          <t>broward-east-north</t>
        </is>
      </c>
      <c r="I80" s="2" t="inlineStr">
        <is>
          <t>https://www.coolingfx.com/</t>
        </is>
      </c>
    </row>
    <row r="81">
      <c r="A81" s="2" t="inlineStr">
        <is>
          <t>Duck Duct Air</t>
        </is>
      </c>
      <c r="B81" s="2" t="inlineStr"/>
      <c r="C81" s="2" t="inlineStr">
        <is>
          <t>Broward</t>
        </is>
      </c>
      <c r="D81" s="2" t="inlineStr"/>
      <c r="E81" s="2" t="inlineStr"/>
      <c r="F81" s="2" t="inlineStr">
        <is>
          <t>9 Yelp</t>
        </is>
      </c>
      <c r="G81" s="2" t="inlineStr">
        <is>
          <t>5.0 with 9 Yelp reviews, responds in ~10 min (owner on phone); surfaces in Weston/Davie top-10. Verify it is not duct-cleaning-only.</t>
        </is>
      </c>
      <c r="H81" s="2" t="inlineStr">
        <is>
          <t>broward-west</t>
        </is>
      </c>
      <c r="I81" s="2" t="inlineStr">
        <is>
          <t>https://www.yelp.com/search?cflt=hvac&amp;find_loc=Davie%2C+FL</t>
        </is>
      </c>
    </row>
    <row r="82">
      <c r="A82" s="2" t="inlineStr">
        <is>
          <t>ELDante HVAC Services</t>
        </is>
      </c>
      <c r="B82" s="2" t="inlineStr">
        <is>
          <t>Coral Springs / Margate / Coconut Creek / Parkland area</t>
        </is>
      </c>
      <c r="C82" s="2" t="inlineStr">
        <is>
          <t>Broward</t>
        </is>
      </c>
      <c r="D82" s="2" t="inlineStr"/>
      <c r="E82" s="2" t="inlineStr">
        <is>
          <t>http://www.eldantehvacservices.net</t>
        </is>
      </c>
      <c r="F82" s="2" t="inlineStr"/>
      <c r="G82" s="2" t="inlineStr">
        <is>
          <t>Apollo free lookup (keyword, 1-50 employees, HQ Coral Springs cluster). Apollo record Nov 2024; .net domain and owner-name brand = small owner-operated.</t>
        </is>
      </c>
      <c r="H82" s="2" t="inlineStr">
        <is>
          <t>chambers-networks</t>
        </is>
      </c>
      <c r="I82" s="2" t="inlineStr">
        <is>
          <t>http://www.eldantehvacservices.net</t>
        </is>
      </c>
    </row>
    <row r="83">
      <c r="A83" s="2" t="inlineStr">
        <is>
          <t>Fleming Brothers Services, Inc.</t>
        </is>
      </c>
      <c r="B83" s="2" t="inlineStr">
        <is>
          <t>Davie</t>
        </is>
      </c>
      <c r="C83" s="2" t="inlineStr">
        <is>
          <t>Broward</t>
        </is>
      </c>
      <c r="D83" s="2" t="inlineStr"/>
      <c r="E83" s="2" t="inlineStr"/>
      <c r="F83" s="2" t="inlineStr"/>
      <c r="G83" s="2" t="inlineStr">
        <is>
          <t>STRONG FIT: state-licensed AC contractor since 1998; both owners Doug and Dave Fleming work in the field full time (no office/admin layer = classic ops/dispatch/CSR gap). Phone not in snippet.</t>
        </is>
      </c>
      <c r="H83" s="2" t="inlineStr">
        <is>
          <t>broward-west</t>
        </is>
      </c>
      <c r="I83" s="2" t="inlineStr">
        <is>
          <t>https://www.expertise.com/home-improvement/hvac/florida/davie</t>
        </is>
      </c>
    </row>
    <row r="84">
      <c r="A84" s="2" t="inlineStr">
        <is>
          <t>Fuss Free AC</t>
        </is>
      </c>
      <c r="B84" s="2" t="inlineStr">
        <is>
          <t>Fort Lauderdale</t>
        </is>
      </c>
      <c r="C84" s="2" t="inlineStr">
        <is>
          <t>Broward</t>
        </is>
      </c>
      <c r="D84" s="2" t="inlineStr"/>
      <c r="E84" s="2" t="inlineStr">
        <is>
          <t>http://www.fussfreeac.com</t>
        </is>
      </c>
      <c r="F84" s="2" t="inlineStr"/>
      <c r="G84" s="2" t="inlineStr">
        <is>
          <t>11-20 employees; Apollo record Jun 2021 = 2021-era company already at 11-20 (scaling profile).</t>
        </is>
      </c>
      <c r="H84" s="2" t="inlineStr">
        <is>
          <t>transition-signals</t>
        </is>
      </c>
      <c r="I84" s="2" t="inlineStr">
        <is>
          <t>https://app.apollo.io/#/organizations/60dd57b2cb5ea600a455ae91</t>
        </is>
      </c>
    </row>
    <row r="85">
      <c r="A85" s="2" t="inlineStr">
        <is>
          <t>HI-VAC Air Conditioning Service</t>
        </is>
      </c>
      <c r="B85" s="2" t="inlineStr">
        <is>
          <t>Sunrise</t>
        </is>
      </c>
      <c r="C85" s="2" t="inlineStr">
        <is>
          <t>Broward</t>
        </is>
      </c>
      <c r="D85" s="2" t="inlineStr"/>
      <c r="E85" s="2" t="inlineStr">
        <is>
          <t>hivacair.com</t>
        </is>
      </c>
      <c r="F85" s="2" t="inlineStr">
        <is>
          <t>72 Yelp</t>
        </is>
      </c>
      <c r="G85" s="2" t="inlineStr">
        <is>
          <t>CAUTION ON SIZE: family-owned since 1996, hiring techs at $28-40/hr with NATE requirement and structured spiff program = may be 40-60+ employees. Confirm headcount before pitching.</t>
        </is>
      </c>
      <c r="H85" s="2" t="inlineStr">
        <is>
          <t>broward-west</t>
        </is>
      </c>
      <c r="I85" s="2" t="inlineStr">
        <is>
          <t>https://www.indeed.com/q-hi-vac-air-conditioning-services-l-sunrise,-fl-jobs.html</t>
        </is>
      </c>
    </row>
    <row r="86">
      <c r="A86" s="2" t="inlineStr">
        <is>
          <t>Joe &amp; Joe Air Conditioning Inc</t>
        </is>
      </c>
      <c r="B86" s="2" t="inlineStr">
        <is>
          <t>Pompano Beach / Deerfield Beach area</t>
        </is>
      </c>
      <c r="C86" s="2" t="inlineStr">
        <is>
          <t>Broward</t>
        </is>
      </c>
      <c r="D86" s="2" t="inlineStr"/>
      <c r="E86" s="2" t="inlineStr">
        <is>
          <t>http://www.joeandjoeac.com</t>
        </is>
      </c>
      <c r="F86" s="2" t="inlineStr"/>
      <c r="G86" s="2" t="inlineStr">
        <is>
          <t>Apollo free lookup (keyword, 1-50 employees, HQ Pompano/Deerfield/LHP). Family/partner-named brand = owner-operated; Apollo record Sept 2024.</t>
        </is>
      </c>
      <c r="H86" s="2" t="inlineStr">
        <is>
          <t>chambers-networks</t>
        </is>
      </c>
      <c r="I86" s="2" t="inlineStr">
        <is>
          <t>http://www.joeandjoeac.com</t>
        </is>
      </c>
    </row>
    <row r="87">
      <c r="A87" s="2" t="inlineStr">
        <is>
          <t>Kings Air Conditioning</t>
        </is>
      </c>
      <c r="B87" s="2" t="inlineStr">
        <is>
          <t>Plantation</t>
        </is>
      </c>
      <c r="C87" s="2" t="inlineStr">
        <is>
          <t>Broward</t>
        </is>
      </c>
      <c r="D87" s="2" t="inlineStr"/>
      <c r="E87" s="2" t="inlineStr"/>
      <c r="F87" s="2" t="inlineStr"/>
      <c r="G87" s="2" t="inlineStr">
        <is>
          <t>HIRING NOW: Indeed posting for AC Technician &amp; Installer $20-25/hr, Plantation 33317, 2-5 yrs exp. Small shop scaling; no website surfaced in results = weak web presence.</t>
        </is>
      </c>
      <c r="H87" s="2" t="inlineStr">
        <is>
          <t>broward-west</t>
        </is>
      </c>
      <c r="I87" s="2" t="inlineStr">
        <is>
          <t>https://www.indeed.com/viewjob?jk=541b565c934fc99a</t>
        </is>
      </c>
    </row>
    <row r="88">
      <c r="A88" s="2" t="inlineStr">
        <is>
          <t>Kunes Plumbing LLC</t>
        </is>
      </c>
      <c r="B88" s="2" t="inlineStr">
        <is>
          <t>Pembroke Pines</t>
        </is>
      </c>
      <c r="C88" s="2" t="inlineStr">
        <is>
          <t>Broward</t>
        </is>
      </c>
      <c r="D88" s="2" t="inlineStr"/>
      <c r="E88" s="2" t="inlineStr">
        <is>
          <t>http://www.kunesplumbing.com</t>
        </is>
      </c>
      <c r="F88" s="2" t="inlineStr"/>
      <c r="G88" s="2" t="inlineStr">
        <is>
          <t>GROWTH: +10%/12 mo and +5%/6 mo; tagged plumbing + HVAC (NAICS 23822); Apollo record Sep 2024 = young and hiring. Verify the AC side of the business.</t>
        </is>
      </c>
      <c r="H88" s="2" t="inlineStr">
        <is>
          <t>transition-signals</t>
        </is>
      </c>
      <c r="I88" s="2" t="inlineStr">
        <is>
          <t>https://app.apollo.io/#/organizations/66f62b42d25c8201b253b079</t>
        </is>
      </c>
    </row>
    <row r="89">
      <c r="A89" s="2" t="inlineStr">
        <is>
          <t>Lucas Technical Air</t>
        </is>
      </c>
      <c r="B89" s="2" t="inlineStr"/>
      <c r="C89" s="2" t="inlineStr">
        <is>
          <t>Broward</t>
        </is>
      </c>
      <c r="D89" s="2" t="inlineStr"/>
      <c r="E89" s="2" t="inlineStr">
        <is>
          <t>lucastechnicalair.com</t>
        </is>
      </c>
      <c r="F89" s="2" t="inlineStr"/>
      <c r="G89" s="2" t="inlineStr">
        <is>
          <t>24/7 repair, installs, monthly maintenance plans; Lauderhill page; owner-surname brand. HQ/phone not in snippets.</t>
        </is>
      </c>
      <c r="H89" s="2" t="inlineStr">
        <is>
          <t>broward-west</t>
        </is>
      </c>
      <c r="I89" s="2" t="inlineStr">
        <is>
          <t>https://lucastechnicalair.com/lauderhill-florida-hvac-air-conditioning-service-repair/</t>
        </is>
      </c>
    </row>
    <row r="90">
      <c r="A90" s="2" t="inlineStr">
        <is>
          <t>Mechanicool, Inc.</t>
        </is>
      </c>
      <c r="B90" s="2" t="inlineStr">
        <is>
          <t>Pompano Beach / Deerfield Beach area</t>
        </is>
      </c>
      <c r="C90" s="2" t="inlineStr">
        <is>
          <t>Broward</t>
        </is>
      </c>
      <c r="D90" s="2" t="inlineStr"/>
      <c r="E90" s="2" t="inlineStr">
        <is>
          <t>http://www.mechanicoolfl.com</t>
        </is>
      </c>
      <c r="F90" s="2" t="inlineStr"/>
      <c r="G90" s="2" t="inlineStr">
        <is>
          <t>Apollo free lookup (NAICS 23822, 1-50 employees, HQ Pompano/Deerfield/LHP). Apollo record 2021 (likely 2020-2021 startup now scaling).</t>
        </is>
      </c>
      <c r="H90" s="2" t="inlineStr">
        <is>
          <t>chambers-networks</t>
        </is>
      </c>
      <c r="I90" s="2" t="inlineStr">
        <is>
          <t>http://www.mechanicoolfl.com</t>
        </is>
      </c>
    </row>
    <row r="91">
      <c r="A91" s="2" t="inlineStr">
        <is>
          <t>Mighty Matt's AC Services</t>
        </is>
      </c>
      <c r="B91" s="2" t="inlineStr">
        <is>
          <t>Hollywood</t>
        </is>
      </c>
      <c r="C91" s="2" t="inlineStr">
        <is>
          <t>Broward</t>
        </is>
      </c>
      <c r="D91" s="2" t="inlineStr"/>
      <c r="E91" s="2" t="inlineStr"/>
      <c r="F91" s="2" t="inlineStr"/>
      <c r="G91" s="2" t="inlineStr">
        <is>
          <t>FIT (small): owner-named one-truck style shop listed on Nextdoor; no website found.</t>
        </is>
      </c>
      <c r="H91" s="2" t="inlineStr">
        <is>
          <t>broward-east-north</t>
        </is>
      </c>
      <c r="I91" s="2" t="inlineStr">
        <is>
          <t>https://nextdoor.com/pages/mighty-matts-ac-services-hollywood-fl/</t>
        </is>
      </c>
    </row>
    <row r="92">
      <c r="A92" s="2" t="inlineStr">
        <is>
          <t>Mintz Heating &amp; Cooling</t>
        </is>
      </c>
      <c r="B92" s="2" t="inlineStr">
        <is>
          <t>Fort Lauderdale</t>
        </is>
      </c>
      <c r="C92" s="2" t="inlineStr">
        <is>
          <t>Broward</t>
        </is>
      </c>
      <c r="D92" s="2" t="inlineStr"/>
      <c r="E92" s="2" t="inlineStr">
        <is>
          <t>http://www.acfloridamintz.com</t>
        </is>
      </c>
      <c r="F92" s="2" t="inlineStr"/>
      <c r="G92" s="2" t="inlineStr">
        <is>
          <t>Apollo free lookup (keyword, 1-50 employees, HQ Fort Lauderdale). Family-name brand = owner-operated.</t>
        </is>
      </c>
      <c r="H92" s="2" t="inlineStr">
        <is>
          <t>chambers-networks</t>
        </is>
      </c>
      <c r="I92" s="2" t="inlineStr">
        <is>
          <t>http://www.acfloridamintz.com</t>
        </is>
      </c>
    </row>
    <row r="93">
      <c r="A93" s="2" t="inlineStr">
        <is>
          <t>Monar Air</t>
        </is>
      </c>
      <c r="B93" s="2" t="inlineStr">
        <is>
          <t>Coral Springs</t>
        </is>
      </c>
      <c r="C93" s="2" t="inlineStr">
        <is>
          <t>Broward</t>
        </is>
      </c>
      <c r="D93" s="2" t="inlineStr"/>
      <c r="E93" s="2" t="inlineStr">
        <is>
          <t>https://monarac.net/</t>
        </is>
      </c>
      <c r="F93" s="2" t="inlineStr"/>
      <c r="G93" s="2" t="inlineStr">
        <is>
          <t>FIT: locally owned/operated Coral Springs repair shop; no phone/owner in snippets.</t>
        </is>
      </c>
      <c r="H93" s="2" t="inlineStr">
        <is>
          <t>broward-east-north</t>
        </is>
      </c>
      <c r="I93" s="2" t="inlineStr">
        <is>
          <t>https://monarac.net/residential/air-conditioning-repair/</t>
        </is>
      </c>
    </row>
    <row r="94">
      <c r="A94" s="2" t="inlineStr">
        <is>
          <t>Mr. Air AC &amp; Electrical</t>
        </is>
      </c>
      <c r="B94" s="2" t="inlineStr">
        <is>
          <t>Pompano Beach</t>
        </is>
      </c>
      <c r="C94" s="2" t="inlineStr">
        <is>
          <t>Broward</t>
        </is>
      </c>
      <c r="D94" s="2" t="inlineStr"/>
      <c r="E94" s="2" t="inlineStr">
        <is>
          <t>https://callmrair.mediaroom.app/about-us</t>
        </is>
      </c>
      <c r="F94" s="2" t="inlineStr"/>
      <c r="G94" s="2" t="inlineStr">
        <is>
          <t>STRONG FIT: added an electrical division; BBB accredited only since 5/2024; license holder Joseph (Joe) Mascetti but Oct 2024 release names Zachary Fraley as owner = ownership transition; just launched 24/7 emergency service; 4624 N Powerline Rd 33073.</t>
        </is>
      </c>
      <c r="H94" s="2" t="inlineStr">
        <is>
          <t>broward-east-north</t>
        </is>
      </c>
      <c r="I94" s="2" t="inlineStr">
        <is>
          <t>https://www.bbb.org/us/fl/pompano-beach/profile/air-conditioning-contractor/mr-air-ac-electrical-0633-92036161</t>
        </is>
      </c>
    </row>
    <row r="95">
      <c r="A95" s="2" t="inlineStr">
        <is>
          <t>S. Atias Corp (Kool Repair)</t>
        </is>
      </c>
      <c r="B95" s="2" t="inlineStr">
        <is>
          <t>Hollywood / Dania / Hallandale area</t>
        </is>
      </c>
      <c r="C95" s="2" t="inlineStr">
        <is>
          <t>Broward</t>
        </is>
      </c>
      <c r="D95" s="2" t="inlineStr"/>
      <c r="E95" s="2" t="inlineStr">
        <is>
          <t>http://www.koolrepair.com</t>
        </is>
      </c>
      <c r="F95" s="2" t="inlineStr"/>
      <c r="G95" s="2" t="inlineStr">
        <is>
          <t>Apollo free lookup (keyword 'ac repair', 1-50 employees, HQ Hollywood cluster). Corporate name differs from brand = owner-operated repair shop.</t>
        </is>
      </c>
      <c r="H95" s="2" t="inlineStr">
        <is>
          <t>chambers-networks</t>
        </is>
      </c>
      <c r="I95" s="2" t="inlineStr">
        <is>
          <t>http://www.koolrepair.com</t>
        </is>
      </c>
    </row>
    <row r="96">
      <c r="A96" s="2" t="inlineStr">
        <is>
          <t>Servtech Air Conditioning Solution</t>
        </is>
      </c>
      <c r="B96" s="2" t="inlineStr">
        <is>
          <t>Fort Lauderdale</t>
        </is>
      </c>
      <c r="C96" s="2" t="inlineStr">
        <is>
          <t>Broward</t>
        </is>
      </c>
      <c r="D96" s="2" t="inlineStr"/>
      <c r="E96" s="2" t="inlineStr">
        <is>
          <t>http://www.servicestechac.com</t>
        </is>
      </c>
      <c r="F96" s="2" t="inlineStr"/>
      <c r="G96" s="2" t="inlineStr">
        <is>
          <t>21-50 employees; Apollo record Mar 2023 = reached 21-50 within ~3 years (scaling fast); domain does not match brand name.</t>
        </is>
      </c>
      <c r="H96" s="2" t="inlineStr">
        <is>
          <t>transition-signals</t>
        </is>
      </c>
      <c r="I96" s="2" t="inlineStr">
        <is>
          <t>https://app.apollo.io/#/organizations/6404f54a2188cf00015209ca</t>
        </is>
      </c>
    </row>
    <row r="97">
      <c r="A97" s="2" t="inlineStr">
        <is>
          <t>Smart Air Systems, Inc.</t>
        </is>
      </c>
      <c r="B97" s="2" t="inlineStr">
        <is>
          <t>Deerfield Beach</t>
        </is>
      </c>
      <c r="C97" s="2" t="inlineStr">
        <is>
          <t>Broward</t>
        </is>
      </c>
      <c r="D97" s="2" t="inlineStr"/>
      <c r="E97" s="2" t="inlineStr">
        <is>
          <t>http://www.smartairsystems.com</t>
        </is>
      </c>
      <c r="F97" s="2" t="inlineStr"/>
      <c r="G97" s="2" t="inlineStr">
        <is>
          <t>GROWTH: headcount +10%/12 mo AND +5%/6 mo per Apollo; 11-20 employees (sweet spot); NAICS 23822; Apollo record created Jun 2025 = newer company scaling fast. Top-tier call.</t>
        </is>
      </c>
      <c r="H97" s="2" t="inlineStr">
        <is>
          <t>transition-signals</t>
        </is>
      </c>
      <c r="I97" s="2" t="inlineStr">
        <is>
          <t>https://app.apollo.io/#/organizations/684a73302ac6d10011e3b206</t>
        </is>
      </c>
    </row>
    <row r="98">
      <c r="A98" s="2" t="inlineStr">
        <is>
          <t>The A/C Ductologist LLC</t>
        </is>
      </c>
      <c r="B98" s="2" t="inlineStr">
        <is>
          <t>Davie</t>
        </is>
      </c>
      <c r="C98" s="2" t="inlineStr">
        <is>
          <t>Broward</t>
        </is>
      </c>
      <c r="D98" s="2" t="inlineStr"/>
      <c r="E98" s="2" t="inlineStr">
        <is>
          <t>http://www.theacductologist.com</t>
        </is>
      </c>
      <c r="F98" s="2" t="inlineStr"/>
      <c r="G98" s="2" t="inlineStr">
        <is>
          <t>GROWTH: +10%/12 mo and +5%/6 mo; 1-10 employees; NAICS 23822; Apollo record Oct 2021 = started ~2021 and scaling. Verify it is full-service AC, not duct-only, before pitching.</t>
        </is>
      </c>
      <c r="H98" s="2" t="inlineStr">
        <is>
          <t>transition-signals</t>
        </is>
      </c>
      <c r="I98" s="2" t="inlineStr">
        <is>
          <t>https://app.apollo.io/#/organizations/6161ef7ada20ab0001b43ca4</t>
        </is>
      </c>
    </row>
    <row r="99">
      <c r="A99" s="2" t="inlineStr">
        <is>
          <t>United AC (gounitedac.com)</t>
        </is>
      </c>
      <c r="B99" s="2" t="inlineStr">
        <is>
          <t>Deerfield Beach</t>
        </is>
      </c>
      <c r="C99" s="2" t="inlineStr">
        <is>
          <t>Broward</t>
        </is>
      </c>
      <c r="D99" s="2" t="inlineStr"/>
      <c r="E99" s="2" t="inlineStr">
        <is>
          <t>https://www.gounitedac.com/</t>
        </is>
      </c>
      <c r="F99" s="2" t="inlineStr"/>
      <c r="G99" s="2" t="inlineStr">
        <is>
          <t>FIT: Deerfield Beach HVAC contractor with city SEO pages (Oakland Park); no phone/owner in snippets.</t>
        </is>
      </c>
      <c r="H99" s="2" t="inlineStr">
        <is>
          <t>broward-east-north</t>
        </is>
      </c>
      <c r="I99" s="2" t="inlineStr">
        <is>
          <t>https://www.gounitedac.com/</t>
        </is>
      </c>
    </row>
    <row r="100">
      <c r="A100" s="2" t="inlineStr">
        <is>
          <t>A/C Care LLC</t>
        </is>
      </c>
      <c r="B100" s="2" t="inlineStr">
        <is>
          <t>Boynton Beach</t>
        </is>
      </c>
      <c r="C100" s="2" t="inlineStr">
        <is>
          <t>Palm Beach</t>
        </is>
      </c>
      <c r="D100" s="2" t="inlineStr"/>
      <c r="E100" s="2" t="inlineStr"/>
      <c r="F100" s="2" t="inlineStr"/>
      <c r="G100" s="2" t="inlineStr">
        <is>
          <t>'Urgently hiring' HVAC service technicians ($22-$28/hr) - demand exceeding capacity. LLC, likely young/small; no website in snippet.</t>
        </is>
      </c>
      <c r="H100" s="2" t="inlineStr">
        <is>
          <t>palm-beach-south</t>
        </is>
      </c>
      <c r="I100" s="2" t="inlineStr">
        <is>
          <t>https://www.indeed.com/q-ac-technician-l-boynton-beach,-fl-jobs.html</t>
        </is>
      </c>
    </row>
    <row r="101">
      <c r="A101" s="2" t="inlineStr">
        <is>
          <t>AA American Air</t>
        </is>
      </c>
      <c r="B101" s="2" t="inlineStr">
        <is>
          <t>Delray Beach / Boca Raton</t>
        </is>
      </c>
      <c r="C101" s="2" t="inlineStr">
        <is>
          <t>Palm Beach</t>
        </is>
      </c>
      <c r="D101" s="2" t="inlineStr"/>
      <c r="E101" s="2" t="inlineStr">
        <is>
          <t>https://www.aaamericanairconditioning.com/</t>
        </is>
      </c>
      <c r="F101" s="2" t="inlineStr"/>
      <c r="G101" s="2" t="inlineStr">
        <is>
          <t>Owners named on site: Marco &amp; David Stangoni (family partnership). Sales/service/installation of most brands in Delray-Boca. Owner-operated; likely small, owner still in the field. Phone not in snippet.</t>
        </is>
      </c>
      <c r="H101" s="2" t="inlineStr">
        <is>
          <t>palm-beach-south</t>
        </is>
      </c>
      <c r="I101" s="2" t="inlineStr">
        <is>
          <t>https://www.aaamericanairconditioning.com/</t>
        </is>
      </c>
    </row>
    <row r="102">
      <c r="A102" s="2" t="inlineStr">
        <is>
          <t>Acts Air Conditioning and Heating LLC</t>
        </is>
      </c>
      <c r="B102" s="2" t="inlineStr">
        <is>
          <t>Boynton Beach</t>
        </is>
      </c>
      <c r="C102" s="2" t="inlineStr">
        <is>
          <t>Palm Beach</t>
        </is>
      </c>
      <c r="D102" s="2" t="inlineStr"/>
      <c r="E102" s="2" t="inlineStr"/>
      <c r="F102" s="2" t="inlineStr"/>
      <c r="G102" s="2" t="inlineStr">
        <is>
          <t>Address: 400 Miner Rd, Boynton Beach, FL 33435. BBB A+ accredited. LLC (likely newer, owner-operated). No website surfaced - possible Facebook/Google-only presence.</t>
        </is>
      </c>
      <c r="H102" s="2" t="inlineStr">
        <is>
          <t>palm-beach-south</t>
        </is>
      </c>
      <c r="I102" s="2" t="inlineStr">
        <is>
          <t>https://www.bbb.org/us/fl/boynton-beach/category/air-conditioning-contractor/accredited</t>
        </is>
      </c>
    </row>
    <row r="103">
      <c r="A103" s="2" t="inlineStr">
        <is>
          <t>Advanced Cooling and Heating LLC</t>
        </is>
      </c>
      <c r="B103" s="2" t="inlineStr">
        <is>
          <t>West Palm Beach</t>
        </is>
      </c>
      <c r="C103" s="2" t="inlineStr">
        <is>
          <t>Palm Beach</t>
        </is>
      </c>
      <c r="D103" s="2" t="inlineStr"/>
      <c r="E103" s="2" t="inlineStr"/>
      <c r="F103" s="2" t="inlineStr"/>
      <c r="G103" s="2" t="inlineStr">
        <is>
          <t>X: acquired by Seacoast Service Partners Aug 2024 - consolidator-owned</t>
        </is>
      </c>
      <c r="H103" s="2" t="inlineStr">
        <is>
          <t>palm-beach-north</t>
        </is>
      </c>
      <c r="I103" s="2" t="inlineStr">
        <is>
          <t>https://www.whitewolfcapital.com/news/seacoast-service-partners-acquires-floridas-advanced-cooling-and-heating-inc/</t>
        </is>
      </c>
    </row>
    <row r="104">
      <c r="A104" s="2" t="inlineStr">
        <is>
          <t>Air We Go, Inc.</t>
        </is>
      </c>
      <c r="B104" s="2" t="inlineStr">
        <is>
          <t>West Palm Beach</t>
        </is>
      </c>
      <c r="C104" s="2" t="inlineStr">
        <is>
          <t>Palm Beach</t>
        </is>
      </c>
      <c r="D104" s="2" t="inlineStr"/>
      <c r="E104" s="2" t="inlineStr"/>
      <c r="F104" s="2" t="inlineStr"/>
      <c r="G104" s="2" t="inlineStr">
        <is>
          <t>Started 2022, owner Daniel runs it; textbook 2021-2025 startup scaling profile</t>
        </is>
      </c>
      <c r="H104" s="2" t="inlineStr">
        <is>
          <t>palm-beach-north</t>
        </is>
      </c>
      <c r="I104" s="2" t="inlineStr">
        <is>
          <t>https://www.angi.com/companylist/us/fl/west-palm-beach/hvac.htm</t>
        </is>
      </c>
    </row>
    <row r="105">
      <c r="A105" s="2" t="inlineStr">
        <is>
          <t>Air-Ref Co. Inc.</t>
        </is>
      </c>
      <c r="B105" s="2" t="inlineStr">
        <is>
          <t>Delray Beach</t>
        </is>
      </c>
      <c r="C105" s="2" t="inlineStr">
        <is>
          <t>Palm Beach</t>
        </is>
      </c>
      <c r="D105" s="2" t="inlineStr"/>
      <c r="E105" s="2" t="inlineStr">
        <is>
          <t>https://airref.com/</t>
        </is>
      </c>
      <c r="F105" s="2" t="inlineStr"/>
      <c r="G105" s="2" t="inlineStr">
        <is>
          <t>Address: 2703 N Old Dixie Hwy, Delray Beach, FL 33483. Family-owned since 1984; residential + commercial AC, electrical, commercial refrigeration; second office in Pompano Beach (multi-location, multi-trade). May be near the 50-employee ceiling - verify size.</t>
        </is>
      </c>
      <c r="H105" s="2" t="inlineStr">
        <is>
          <t>palm-beach-south</t>
        </is>
      </c>
      <c r="I105" s="2" t="inlineStr">
        <is>
          <t>https://airref.com/hvac-company-delray-beach-fl/</t>
        </is>
      </c>
    </row>
    <row r="106">
      <c r="A106" s="2" t="inlineStr">
        <is>
          <t>All Out Air Conditioning, LLC</t>
        </is>
      </c>
      <c r="B106" s="2" t="inlineStr"/>
      <c r="C106" s="2" t="inlineStr">
        <is>
          <t>Palm Beach</t>
        </is>
      </c>
      <c r="D106" s="2" t="inlineStr"/>
      <c r="E106" s="2" t="inlineStr">
        <is>
          <t>https://www.alloutac.com/</t>
        </is>
      </c>
      <c r="F106" s="2" t="inlineStr"/>
      <c r="G106" s="2" t="inlineStr">
        <is>
          <t>Hiring HVAC service techs now ($26-31/hr, Indeed WPB); serves Riviera Beach; hiring = scaling pain</t>
        </is>
      </c>
      <c r="H106" s="2" t="inlineStr">
        <is>
          <t>palm-beach-north</t>
        </is>
      </c>
      <c r="I106" s="2" t="inlineStr">
        <is>
          <t>https://www.indeed.com/q-hvac-service-technician-l-west-palm-beach,-fl-jobs.html</t>
        </is>
      </c>
    </row>
    <row r="107">
      <c r="A107" s="2" t="inlineStr">
        <is>
          <t>Aspen Air Conditioning</t>
        </is>
      </c>
      <c r="B107" s="2" t="inlineStr">
        <is>
          <t>Boca Raton area</t>
        </is>
      </c>
      <c r="C107" s="2" t="inlineStr">
        <is>
          <t>Palm Beach</t>
        </is>
      </c>
      <c r="D107" s="2" t="inlineStr"/>
      <c r="E107" s="2" t="inlineStr"/>
      <c r="F107" s="2" t="inlineStr"/>
      <c r="G107" s="2" t="inlineStr">
        <is>
          <t>Listed among active Boca-area HVAC employers (hiring). Thin record - verify HQ, owner, size.</t>
        </is>
      </c>
      <c r="H107" s="2" t="inlineStr">
        <is>
          <t>palm-beach-south</t>
        </is>
      </c>
      <c r="I107" s="2" t="inlineStr">
        <is>
          <t>https://www.ziprecruiter.com/Jobs/Hvac/-in-Boca-Raton,FL</t>
        </is>
      </c>
    </row>
    <row r="108">
      <c r="A108" s="2" t="inlineStr">
        <is>
          <t>Atlantic Refrigeration</t>
        </is>
      </c>
      <c r="B108" s="2" t="inlineStr">
        <is>
          <t>Delray Beach</t>
        </is>
      </c>
      <c r="C108" s="2" t="inlineStr">
        <is>
          <t>Palm Beach</t>
        </is>
      </c>
      <c r="D108" s="2" t="inlineStr"/>
      <c r="E108" s="2" t="inlineStr"/>
      <c r="F108" s="2" t="inlineStr"/>
      <c r="G108" s="2" t="inlineStr">
        <is>
          <t>Delray-based HVAC-R shop hiring commercial refrigeration techs at $40-$45/hr (premium pay = busy commercial book). Commercial HVAC + refrigeration fit; verify size and ownership.</t>
        </is>
      </c>
      <c r="H108" s="2" t="inlineStr">
        <is>
          <t>palm-beach-south</t>
        </is>
      </c>
      <c r="I108" s="2" t="inlineStr">
        <is>
          <t>https://www.ziprecruiter.com/Jobs/Hvac/-in-Boca-Raton,FL</t>
        </is>
      </c>
    </row>
    <row r="109">
      <c r="A109" s="2" t="inlineStr">
        <is>
          <t>Boynton AC</t>
        </is>
      </c>
      <c r="B109" s="2" t="inlineStr">
        <is>
          <t>Boynton Beach</t>
        </is>
      </c>
      <c r="C109" s="2" t="inlineStr">
        <is>
          <t>Palm Beach</t>
        </is>
      </c>
      <c r="D109" s="2" t="inlineStr"/>
      <c r="E109" s="2" t="inlineStr">
        <is>
          <t>https://boyntonac.com/</t>
        </is>
      </c>
      <c r="F109" s="2" t="inlineStr"/>
      <c r="G109" s="2" t="inlineStr">
        <is>
          <t>Self-described 'Local AC Company in Boynton Beach'. Keyword-domain, thin snippet - verify legal name, owner, phone.</t>
        </is>
      </c>
      <c r="H109" s="2" t="inlineStr">
        <is>
          <t>palm-beach-south</t>
        </is>
      </c>
      <c r="I109" s="2" t="inlineStr">
        <is>
          <t>https://boyntonac.com/</t>
        </is>
      </c>
    </row>
    <row r="110">
      <c r="A110" s="2" t="inlineStr">
        <is>
          <t>Bradley Heating &amp; Air Conditioning, Inc.</t>
        </is>
      </c>
      <c r="B110" s="2" t="inlineStr">
        <is>
          <t>West Palm Beach (just north of target zone; serves Royal Palm Beach, Lake Worth)</t>
        </is>
      </c>
      <c r="C110" s="2" t="inlineStr">
        <is>
          <t>Palm Beach</t>
        </is>
      </c>
      <c r="D110" s="2" t="inlineStr"/>
      <c r="E110" s="2" t="inlineStr">
        <is>
          <t>https://bradleyair.com/</t>
        </is>
      </c>
      <c r="F110" s="2" t="inlineStr"/>
      <c r="G110" s="2" t="inlineStr">
        <is>
          <t>Family-owned since 1980, A+ BBB, 45+ years. Outside the south-county angle but in Palm Beach County; include as secondary. Phone not in snippet.</t>
        </is>
      </c>
      <c r="H110" s="2" t="inlineStr">
        <is>
          <t>palm-beach-south</t>
        </is>
      </c>
      <c r="I110" s="2" t="inlineStr">
        <is>
          <t>https://bradleyair.com/</t>
        </is>
      </c>
    </row>
    <row r="111">
      <c r="A111" s="2" t="inlineStr">
        <is>
          <t>Cool Bear Services</t>
        </is>
      </c>
      <c r="B111" s="2" t="inlineStr">
        <is>
          <t>Delray Beach</t>
        </is>
      </c>
      <c r="C111" s="2" t="inlineStr">
        <is>
          <t>Palm Beach</t>
        </is>
      </c>
      <c r="D111" s="2" t="inlineStr"/>
      <c r="E111" s="2" t="inlineStr"/>
      <c r="F111" s="2" t="inlineStr"/>
      <c r="G111" s="2" t="inlineStr">
        <is>
          <t>Listed among active Delray Beach HVAC employers (hiring). Thin record - verify ownership, size, and web presence before calling.</t>
        </is>
      </c>
      <c r="H111" s="2" t="inlineStr">
        <is>
          <t>palm-beach-south</t>
        </is>
      </c>
      <c r="I111" s="2" t="inlineStr">
        <is>
          <t>https://www.glassdoor.com/Job/delray-beach-hvac-helper-jobs-SRCH_IL.0,12_IC1154159_KO13,24.htm</t>
        </is>
      </c>
    </row>
    <row r="112">
      <c r="A112" s="2" t="inlineStr">
        <is>
          <t>Cooling Advisors Air Conditioning</t>
        </is>
      </c>
      <c r="B112" s="2" t="inlineStr"/>
      <c r="C112" s="2" t="inlineStr">
        <is>
          <t>Palm Beach</t>
        </is>
      </c>
      <c r="D112" s="2" t="inlineStr"/>
      <c r="E112" s="2" t="inlineStr"/>
      <c r="F112" s="2" t="inlineStr"/>
      <c r="G112" s="2" t="inlineStr">
        <is>
          <t>Palm Beach North Chamber member; hiring techs now ($20-30/hr on Indeed); markets warranties/straightforward pricing</t>
        </is>
      </c>
      <c r="H112" s="2" t="inlineStr">
        <is>
          <t>palm-beach-north</t>
        </is>
      </c>
      <c r="I112" s="2" t="inlineStr">
        <is>
          <t>https://www.pbnchamber.com/cooling-advisors/</t>
        </is>
      </c>
    </row>
    <row r="113">
      <c r="A113" s="2" t="inlineStr">
        <is>
          <t>Crest Air</t>
        </is>
      </c>
      <c r="B113" s="2" t="inlineStr">
        <is>
          <t>Boynton Beach</t>
        </is>
      </c>
      <c r="C113" s="2" t="inlineStr">
        <is>
          <t>Palm Beach</t>
        </is>
      </c>
      <c r="D113" s="2" t="inlineStr"/>
      <c r="E113" s="2" t="inlineStr">
        <is>
          <t>https://crest-air.com/</t>
        </is>
      </c>
      <c r="F113" s="2" t="inlineStr"/>
      <c r="G113" s="2" t="inlineStr">
        <is>
          <t>Locally owned and operated; '72 years combined experience' implies a 3-5 person crew; 24/7 emergency. Small owner-run shop. Phone not in snippet.</t>
        </is>
      </c>
      <c r="H113" s="2" t="inlineStr">
        <is>
          <t>palm-beach-south</t>
        </is>
      </c>
      <c r="I113" s="2" t="inlineStr">
        <is>
          <t>https://crest-air.com/boynton-beach/</t>
        </is>
      </c>
    </row>
    <row r="114">
      <c r="A114" s="2" t="inlineStr">
        <is>
          <t>D'Monte Air Inc</t>
        </is>
      </c>
      <c r="B114" s="2" t="inlineStr">
        <is>
          <t>Boynton Beach area</t>
        </is>
      </c>
      <c r="C114" s="2" t="inlineStr">
        <is>
          <t>Palm Beach</t>
        </is>
      </c>
      <c r="D114" s="2" t="inlineStr"/>
      <c r="E114" s="2" t="inlineStr"/>
      <c r="F114" s="2" t="inlineStr"/>
      <c r="G114" s="2" t="inlineStr">
        <is>
          <t>BBB A+ accredited AC contractor near Boynton Beach. No website/phone in snippet - verify; likely small owner-run shop.</t>
        </is>
      </c>
      <c r="H114" s="2" t="inlineStr">
        <is>
          <t>palm-beach-south</t>
        </is>
      </c>
      <c r="I114" s="2" t="inlineStr">
        <is>
          <t>https://www.bbb.org/us/fl/boynton-beach/category/air-conditioning-contractor/accredited</t>
        </is>
      </c>
    </row>
    <row r="115">
      <c r="A115" s="2" t="inlineStr">
        <is>
          <t>Direct Cooling</t>
        </is>
      </c>
      <c r="B115" s="2" t="inlineStr">
        <is>
          <t>Boca Raton</t>
        </is>
      </c>
      <c r="C115" s="2" t="inlineStr">
        <is>
          <t>Palm Beach</t>
        </is>
      </c>
      <c r="D115" s="2" t="inlineStr"/>
      <c r="E115" s="2" t="inlineStr">
        <is>
          <t>https://www.directcoolingfl.com/</t>
        </is>
      </c>
      <c r="F115" s="2" t="inlineStr"/>
      <c r="G115" s="2" t="inlineStr">
        <is>
          <t>Family-run, 20+ years installing/repairing residential and commercial AC in Boca; listed as actively hiring HVAC techs (Boca Raton) on job boards = scaling signal. Phone not in snippet.</t>
        </is>
      </c>
      <c r="H115" s="2" t="inlineStr">
        <is>
          <t>palm-beach-south</t>
        </is>
      </c>
      <c r="I115" s="2" t="inlineStr">
        <is>
          <t>https://www.ziprecruiter.com/Jobs/Hvac/-in-Boca-Raton,FL</t>
        </is>
      </c>
    </row>
    <row r="116">
      <c r="A116" s="2" t="inlineStr">
        <is>
          <t>DL Folsom A/C &amp; Htg Corp</t>
        </is>
      </c>
      <c r="B116" s="2" t="inlineStr">
        <is>
          <t>Boynton Beach</t>
        </is>
      </c>
      <c r="C116" s="2" t="inlineStr">
        <is>
          <t>Palm Beach</t>
        </is>
      </c>
      <c r="D116" s="2" t="inlineStr"/>
      <c r="E116" s="2" t="inlineStr"/>
      <c r="F116" s="2" t="inlineStr"/>
      <c r="G116" s="2" t="inlineStr">
        <is>
          <t>Hiring both installers and service techs ($18-$30/hr) - adding crews. Owner-named corp (Folsom), no website surfaced. Fit.</t>
        </is>
      </c>
      <c r="H116" s="2" t="inlineStr">
        <is>
          <t>palm-beach-south</t>
        </is>
      </c>
      <c r="I116" s="2" t="inlineStr">
        <is>
          <t>https://www.indeed.com/q-ac-technician-l-boynton-beach,-fl-jobs.html</t>
        </is>
      </c>
    </row>
    <row r="117">
      <c r="A117" s="2" t="inlineStr">
        <is>
          <t>E.R Air Conditioning Inc</t>
        </is>
      </c>
      <c r="B117" s="2" t="inlineStr">
        <is>
          <t>Palm Beach Gardens</t>
        </is>
      </c>
      <c r="C117" s="2" t="inlineStr">
        <is>
          <t>Palm Beach</t>
        </is>
      </c>
      <c r="D117" s="2" t="inlineStr"/>
      <c r="E117" s="2" t="inlineStr"/>
      <c r="F117" s="2" t="inlineStr"/>
      <c r="G117" s="2" t="inlineStr">
        <is>
          <t>BBB-listed small PBG shop; initials-named owner-operator</t>
        </is>
      </c>
      <c r="H117" s="2" t="inlineStr">
        <is>
          <t>palm-beach-north</t>
        </is>
      </c>
      <c r="I117" s="2" t="inlineStr">
        <is>
          <t>https://www.bbb.org/us/fl/palm-beach-gardens/profile/air-conditioning-contractor/er-air-conditioning-inc-0633-90418186</t>
        </is>
      </c>
    </row>
    <row r="118">
      <c r="A118" s="2" t="inlineStr">
        <is>
          <t>Eco AC Florida</t>
        </is>
      </c>
      <c r="B118" s="2" t="inlineStr">
        <is>
          <t>Boynton Beach</t>
        </is>
      </c>
      <c r="C118" s="2" t="inlineStr">
        <is>
          <t>Palm Beach</t>
        </is>
      </c>
      <c r="D118" s="2" t="inlineStr"/>
      <c r="E118" s="2" t="inlineStr">
        <is>
          <t>https://ecoacflorida.com/</t>
        </is>
      </c>
      <c r="F118" s="2" t="inlineStr"/>
      <c r="G118" s="2" t="inlineStr">
        <is>
          <t>Boynton Beach AC repair page; thin snippet. Verify ownership, size, phone.</t>
        </is>
      </c>
      <c r="H118" s="2" t="inlineStr">
        <is>
          <t>palm-beach-south</t>
        </is>
      </c>
      <c r="I118" s="2" t="inlineStr">
        <is>
          <t>https://ecoacflorida.com/ac-repair-boynton-beach/</t>
        </is>
      </c>
    </row>
    <row r="119">
      <c r="A119" s="2" t="inlineStr">
        <is>
          <t>Jay's Tri-County Heating and Ventilation LLC</t>
        </is>
      </c>
      <c r="B119" s="2" t="inlineStr"/>
      <c r="C119" s="2" t="inlineStr">
        <is>
          <t>Palm Beach</t>
        </is>
      </c>
      <c r="D119" s="2" t="inlineStr"/>
      <c r="E119" s="2" t="inlineStr"/>
      <c r="F119" s="2" t="inlineStr"/>
      <c r="G119" s="2" t="inlineStr">
        <is>
          <t>BBB A+ accredited WPB-area LLC; owner-named; no website surfaced</t>
        </is>
      </c>
      <c r="H119" s="2" t="inlineStr">
        <is>
          <t>palm-beach-north</t>
        </is>
      </c>
      <c r="I119" s="2" t="inlineStr">
        <is>
          <t>https://www.bbb.org/us/fl/west-palm-beach/category/air-conditioning-contractor/accredited</t>
        </is>
      </c>
    </row>
    <row r="120">
      <c r="A120" s="2" t="inlineStr">
        <is>
          <t>Kilbourne Heating &amp; AC</t>
        </is>
      </c>
      <c r="B120" s="2" t="inlineStr"/>
      <c r="C120" s="2" t="inlineStr">
        <is>
          <t>Palm Beach</t>
        </is>
      </c>
      <c r="D120" s="2" t="inlineStr"/>
      <c r="E120" s="2" t="inlineStr">
        <is>
          <t>https://www.kilbourneairconditioning.com/</t>
        </is>
      </c>
      <c r="F120" s="2" t="inlineStr"/>
      <c r="G120" s="2" t="inlineStr">
        <is>
          <t>Serves Loxahatchee; owner-named shop; HQ not confirmed</t>
        </is>
      </c>
      <c r="H120" s="2" t="inlineStr">
        <is>
          <t>palm-beach-north</t>
        </is>
      </c>
      <c r="I120" s="2" t="inlineStr">
        <is>
          <t>https://www.kilbourneairconditioning.com/locations/loxahatchee/</t>
        </is>
      </c>
    </row>
    <row r="121">
      <c r="A121" s="2" t="inlineStr">
        <is>
          <t>Local Guy AC</t>
        </is>
      </c>
      <c r="B121" s="2" t="inlineStr"/>
      <c r="C121" s="2" t="inlineStr">
        <is>
          <t>Palm Beach</t>
        </is>
      </c>
      <c r="D121" s="2" t="inlineStr"/>
      <c r="E121" s="2" t="inlineStr">
        <is>
          <t>https://www.localguyac.com/</t>
        </is>
      </c>
      <c r="F121" s="2" t="inlineStr"/>
      <c r="G121" s="2" t="inlineStr">
        <is>
          <t>Owner-operator branding serving Jupiter; HQ not confirmed</t>
        </is>
      </c>
      <c r="H121" s="2" t="inlineStr">
        <is>
          <t>palm-beach-north</t>
        </is>
      </c>
      <c r="I121" s="2" t="inlineStr">
        <is>
          <t>https://www.localguyac.com/jupiter</t>
        </is>
      </c>
    </row>
    <row r="122">
      <c r="A122" s="2" t="inlineStr">
        <is>
          <t>Lowen Air Conditioning</t>
        </is>
      </c>
      <c r="B122" s="2" t="inlineStr">
        <is>
          <t>Jupiter</t>
        </is>
      </c>
      <c r="C122" s="2" t="inlineStr">
        <is>
          <t>Palm Beach</t>
        </is>
      </c>
      <c r="D122" s="2" t="inlineStr"/>
      <c r="E122" s="2" t="inlineStr">
        <is>
          <t>https://lowenac.com/</t>
        </is>
      </c>
      <c r="F122" s="2" t="inlineStr"/>
      <c r="G122" s="2" t="inlineStr">
        <is>
          <t>Family-run since 1971, residential + commercial; 50-yr legacy shop, likely owner-led office</t>
        </is>
      </c>
      <c r="H122" s="2" t="inlineStr">
        <is>
          <t>palm-beach-north</t>
        </is>
      </c>
      <c r="I122" s="2" t="inlineStr">
        <is>
          <t>https://lowenac.com/about-us</t>
        </is>
      </c>
    </row>
    <row r="123">
      <c r="A123" s="2" t="inlineStr">
        <is>
          <t>M&amp;R Air Conditioning Services</t>
        </is>
      </c>
      <c r="B123" s="2" t="inlineStr">
        <is>
          <t>Boca Raton area (verify HQ)</t>
        </is>
      </c>
      <c r="C123" s="2" t="inlineStr">
        <is>
          <t>Palm Beach</t>
        </is>
      </c>
      <c r="D123" s="2" t="inlineStr"/>
      <c r="E123" s="2" t="inlineStr">
        <is>
          <t>https://mrac.services/</t>
        </is>
      </c>
      <c r="F123" s="2" t="inlineStr"/>
      <c r="G123" s="2" t="inlineStr">
        <is>
          <t>Family owned and operated since 1982; listed as an active employer hiring HVAC techs in the Boca Raton job-board search. 40+ year legacy shop + hiring = likely needs systems help. Phone/address not in snippet.</t>
        </is>
      </c>
      <c r="H123" s="2" t="inlineStr">
        <is>
          <t>palm-beach-south</t>
        </is>
      </c>
      <c r="I123" s="2" t="inlineStr">
        <is>
          <t>https://mrac.services/</t>
        </is>
      </c>
    </row>
    <row r="124">
      <c r="A124" s="2" t="inlineStr">
        <is>
          <t>Native Air Conditioning, LLC</t>
        </is>
      </c>
      <c r="B124" s="2" t="inlineStr">
        <is>
          <t>West Palm Beach</t>
        </is>
      </c>
      <c r="C124" s="2" t="inlineStr">
        <is>
          <t>Palm Beach</t>
        </is>
      </c>
      <c r="D124" s="2" t="inlineStr"/>
      <c r="E124" s="2" t="inlineStr"/>
      <c r="F124" s="2" t="inlineStr"/>
      <c r="G124" s="2" t="inlineStr">
        <is>
          <t>WPB LLC found via Nextdoor; likely newer owner-operator</t>
        </is>
      </c>
      <c r="H124" s="2" t="inlineStr">
        <is>
          <t>palm-beach-north</t>
        </is>
      </c>
      <c r="I124" s="2" t="inlineStr">
        <is>
          <t>https://nextdoor.com/pages/native-air-conditioning-llc-west-palm-beach-fl/</t>
        </is>
      </c>
    </row>
    <row r="125">
      <c r="A125" s="2" t="inlineStr">
        <is>
          <t>New Panzer Incorporated Air Conditioning and Heating</t>
        </is>
      </c>
      <c r="B125" s="2" t="inlineStr">
        <is>
          <t>Lake Worth</t>
        </is>
      </c>
      <c r="C125" s="2" t="inlineStr">
        <is>
          <t>Palm Beach</t>
        </is>
      </c>
      <c r="D125" s="2" t="inlineStr"/>
      <c r="E125" s="2" t="inlineStr"/>
      <c r="F125" s="2" t="inlineStr"/>
      <c r="G125" s="2" t="inlineStr">
        <is>
          <t>Hiring a part-time HVAC Dispatcher (from $18/hr) - first office/dispatch hire signal; small shop moving off the owner's phone. No website in snippet.</t>
        </is>
      </c>
      <c r="H125" s="2" t="inlineStr">
        <is>
          <t>palm-beach-south</t>
        </is>
      </c>
      <c r="I125" s="2" t="inlineStr">
        <is>
          <t>https://www.ziprecruiter.com/Jobs/Dispatcher/-in-Lake-Worth,FL</t>
        </is>
      </c>
    </row>
    <row r="126">
      <c r="A126" s="2" t="inlineStr">
        <is>
          <t>Now Air Conditioning</t>
        </is>
      </c>
      <c r="B126" s="2" t="inlineStr">
        <is>
          <t>Wellington</t>
        </is>
      </c>
      <c r="C126" s="2" t="inlineStr">
        <is>
          <t>Palm Beach</t>
        </is>
      </c>
      <c r="D126" s="2" t="inlineStr"/>
      <c r="E126" s="2" t="inlineStr">
        <is>
          <t>https://nowairconditioning.com/</t>
        </is>
      </c>
      <c r="F126" s="2" t="inlineStr"/>
      <c r="G126" s="2" t="inlineStr">
        <is>
          <t>Self-described local AC repair company in Wellington. Thin snippet - verify owner, phone, size.</t>
        </is>
      </c>
      <c r="H126" s="2" t="inlineStr">
        <is>
          <t>palm-beach-south</t>
        </is>
      </c>
      <c r="I126" s="2" t="inlineStr">
        <is>
          <t>https://nowairconditioning.com/air-conditioning-service/ac-repair/</t>
        </is>
      </c>
    </row>
    <row r="127">
      <c r="A127" s="2" t="inlineStr">
        <is>
          <t>Palm Beach Air Conditioning, Inc.</t>
        </is>
      </c>
      <c r="B127" s="2" t="inlineStr">
        <is>
          <t>Boca Raton</t>
        </is>
      </c>
      <c r="C127" s="2" t="inlineStr">
        <is>
          <t>Palm Beach</t>
        </is>
      </c>
      <c r="D127" s="2" t="inlineStr"/>
      <c r="E127" s="2" t="inlineStr"/>
      <c r="F127" s="2" t="inlineStr"/>
      <c r="G127" s="2" t="inlineStr">
        <is>
          <t>Boca Raton HVAC contractor listed on Procore (commercial/construction work). Thin record - verify owner, size, phone.</t>
        </is>
      </c>
      <c r="H127" s="2" t="inlineStr">
        <is>
          <t>palm-beach-south</t>
        </is>
      </c>
      <c r="I127" s="2" t="inlineStr">
        <is>
          <t>https://www.procore.com/network/p/palm-beach-air-conditioning-inc-boca-raton</t>
        </is>
      </c>
    </row>
    <row r="128">
      <c r="A128" s="2" t="inlineStr">
        <is>
          <t>Rocket Cooling</t>
        </is>
      </c>
      <c r="B128" s="2" t="inlineStr"/>
      <c r="C128" s="2" t="inlineStr">
        <is>
          <t>Palm Beach</t>
        </is>
      </c>
      <c r="D128" s="2" t="inlineStr"/>
      <c r="E128" s="2" t="inlineStr"/>
      <c r="F128" s="2" t="inlineStr"/>
      <c r="G128" s="2" t="inlineStr">
        <is>
          <t>Hiring full-time techs $25-36/hr (Indeed WPB); growth-stage small shop; HQ not confirmed</t>
        </is>
      </c>
      <c r="H128" s="2" t="inlineStr">
        <is>
          <t>palm-beach-north</t>
        </is>
      </c>
      <c r="I128" s="2" t="inlineStr">
        <is>
          <t>https://www.indeed.com/q-hvac-service-technician-l-west-palm-beach,-fl-jobs.html</t>
        </is>
      </c>
    </row>
    <row r="129">
      <c r="A129" s="2" t="inlineStr">
        <is>
          <t>Smithco Services</t>
        </is>
      </c>
      <c r="B129" s="2" t="inlineStr">
        <is>
          <t>Boynton Beach</t>
        </is>
      </c>
      <c r="C129" s="2" t="inlineStr">
        <is>
          <t>Palm Beach</t>
        </is>
      </c>
      <c r="D129" s="2" t="inlineStr"/>
      <c r="E129" s="2" t="inlineStr"/>
      <c r="F129" s="2" t="inlineStr"/>
      <c r="G129" s="2" t="inlineStr">
        <is>
          <t>Family-owned HVAC/R company hiring an HVAC/R Dispatcher at $30-$36/hr - hiring a dedicated dispatcher is a classic 'outgrew the owner's phone' moment. Strong fit; find website/phone.</t>
        </is>
      </c>
      <c r="H129" s="2" t="inlineStr">
        <is>
          <t>palm-beach-south</t>
        </is>
      </c>
      <c r="I129" s="2" t="inlineStr">
        <is>
          <t>https://www.indeed.com/q-ac-technician-l-boynton-beach,-fl-jobs.html</t>
        </is>
      </c>
    </row>
    <row r="130">
      <c r="A130" s="2" t="inlineStr">
        <is>
          <t>AC Brothers</t>
        </is>
      </c>
      <c r="B130" s="2" t="inlineStr">
        <is>
          <t>Hialeah</t>
        </is>
      </c>
      <c r="C130" s="2" t="inlineStr">
        <is>
          <t>Miami-Dade</t>
        </is>
      </c>
      <c r="D130" s="2" t="inlineStr"/>
      <c r="E130" s="2" t="inlineStr">
        <is>
          <t>http://www.acbrothers.com</t>
        </is>
      </c>
      <c r="F130" s="2" t="inlineStr"/>
      <c r="G130" s="2" t="inlineStr">
        <is>
          <t>Name signals family/brothers-owned AC repair in Hialeah; 1-50 staff; tagged air conditioning/HVAC in Apollo - good owner-operator fit, verify review count and license on site.</t>
        </is>
      </c>
      <c r="H130" s="2" t="inlineStr">
        <is>
          <t>miami-dade-north</t>
        </is>
      </c>
      <c r="I130" s="2" t="inlineStr">
        <is>
          <t>http://www.acbrothers.com</t>
        </is>
      </c>
    </row>
    <row r="131">
      <c r="A131" s="2" t="inlineStr">
        <is>
          <t>AC Repair 24 Seven</t>
        </is>
      </c>
      <c r="B131" s="2" t="inlineStr">
        <is>
          <t>Miami Lakes</t>
        </is>
      </c>
      <c r="C131" s="2" t="inlineStr">
        <is>
          <t>Miami-Dade</t>
        </is>
      </c>
      <c r="D131" s="2" t="inlineStr"/>
      <c r="E131" s="2" t="inlineStr">
        <is>
          <t>http://www.acrepairtwentyfourseven.com</t>
        </is>
      </c>
      <c r="F131" s="2" t="inlineStr"/>
      <c r="G131" s="2" t="inlineStr">
        <is>
          <t>Miami Lakes emergency AC repair brand first indexed Sep 2025 - brand-new; emergency-only positioning usually means no maintenance plan or CRM, strong fit to verify.</t>
        </is>
      </c>
      <c r="H131" s="2" t="inlineStr">
        <is>
          <t>miami-dade-north</t>
        </is>
      </c>
      <c r="I131" s="2" t="inlineStr">
        <is>
          <t>http://www.acrepairtwentyfourseven.com</t>
        </is>
      </c>
    </row>
    <row r="132">
      <c r="A132" s="2" t="inlineStr">
        <is>
          <t>Air Zone Mechanical</t>
        </is>
      </c>
      <c r="B132" s="2" t="inlineStr">
        <is>
          <t>Hialeah</t>
        </is>
      </c>
      <c r="C132" s="2" t="inlineStr">
        <is>
          <t>Miami-Dade</t>
        </is>
      </c>
      <c r="D132" s="2" t="inlineStr"/>
      <c r="E132" s="2" t="inlineStr">
        <is>
          <t>http://www.airzoneac.com</t>
        </is>
      </c>
      <c r="F132" s="2" t="inlineStr"/>
      <c r="G132" s="2" t="inlineStr">
        <is>
          <t>Hialeah HVAC contractor first indexed Jan 2022 - possible 2021-era startup now scaling; verify founding year and hiring.</t>
        </is>
      </c>
      <c r="H132" s="2" t="inlineStr">
        <is>
          <t>miami-dade-north</t>
        </is>
      </c>
      <c r="I132" s="2" t="inlineStr">
        <is>
          <t>http://www.airzoneac.com</t>
        </is>
      </c>
    </row>
    <row r="133">
      <c r="A133" s="2" t="inlineStr">
        <is>
          <t>Albert's Air Conditioning Corp.</t>
        </is>
      </c>
      <c r="B133" s="2" t="inlineStr">
        <is>
          <t>Miami</t>
        </is>
      </c>
      <c r="C133" s="2" t="inlineStr">
        <is>
          <t>Miami-Dade</t>
        </is>
      </c>
      <c r="D133" s="2" t="inlineStr"/>
      <c r="E133" s="2" t="inlineStr">
        <is>
          <t>http://www.albertsair.com</t>
        </is>
      </c>
      <c r="F133" s="2" t="inlineStr"/>
      <c r="G133" s="2" t="inlineStr">
        <is>
          <t>Owner-named Miami AC corp (NAICS 23822, indexed 2014) - classic owner-operator; neighborhood unverified.</t>
        </is>
      </c>
      <c r="H133" s="2" t="inlineStr">
        <is>
          <t>miami-dade-north</t>
        </is>
      </c>
      <c r="I133" s="2" t="inlineStr">
        <is>
          <t>http://www.albertsair.com</t>
        </is>
      </c>
    </row>
    <row r="134">
      <c r="A134" s="2" t="inlineStr">
        <is>
          <t>Contractors 911</t>
        </is>
      </c>
      <c r="B134" s="2" t="inlineStr">
        <is>
          <t>Hialeah</t>
        </is>
      </c>
      <c r="C134" s="2" t="inlineStr">
        <is>
          <t>Miami-Dade</t>
        </is>
      </c>
      <c r="D134" s="2" t="inlineStr"/>
      <c r="E134" s="2" t="inlineStr">
        <is>
          <t>http://www.contractors911.com</t>
        </is>
      </c>
      <c r="F134" s="2" t="inlineStr"/>
      <c r="G134" s="2" t="inlineStr">
        <is>
          <t>Hialeah HVAC-tagged contractor first indexed Apr 2025 - very new, emergency-service brand; prime 'started 2021-2025 and scaling' target, verify scope.</t>
        </is>
      </c>
      <c r="H134" s="2" t="inlineStr">
        <is>
          <t>miami-dade-north</t>
        </is>
      </c>
      <c r="I134" s="2" t="inlineStr">
        <is>
          <t>http://www.contractors911.com</t>
        </is>
      </c>
    </row>
    <row r="135">
      <c r="A135" s="2" t="inlineStr">
        <is>
          <t>Cooling Power Corp</t>
        </is>
      </c>
      <c r="B135" s="2" t="inlineStr">
        <is>
          <t>Miami Lakes</t>
        </is>
      </c>
      <c r="C135" s="2" t="inlineStr">
        <is>
          <t>Miami-Dade</t>
        </is>
      </c>
      <c r="D135" s="2" t="inlineStr"/>
      <c r="E135" s="2" t="inlineStr">
        <is>
          <t>http://www.coolingpowercorp.com</t>
        </is>
      </c>
      <c r="F135" s="2" t="inlineStr"/>
      <c r="G135" s="2" t="inlineStr">
        <is>
          <t>Miami Lakes AC company first indexed Mar 2024 - likely young and scaling; verify founding year and staff.</t>
        </is>
      </c>
      <c r="H135" s="2" t="inlineStr">
        <is>
          <t>miami-dade-north</t>
        </is>
      </c>
      <c r="I135" s="2" t="inlineStr">
        <is>
          <t>http://www.coolingpowercorp.com</t>
        </is>
      </c>
    </row>
    <row r="136">
      <c r="A136" s="2" t="inlineStr">
        <is>
          <t>Deaco Air</t>
        </is>
      </c>
      <c r="B136" s="2" t="inlineStr">
        <is>
          <t>Hialeah</t>
        </is>
      </c>
      <c r="C136" s="2" t="inlineStr">
        <is>
          <t>Miami-Dade</t>
        </is>
      </c>
      <c r="D136" s="2" t="inlineStr"/>
      <c r="E136" s="2" t="inlineStr">
        <is>
          <t>http://www.deacoair.com</t>
        </is>
      </c>
      <c r="F136" s="2" t="inlineStr"/>
      <c r="G136" s="2" t="inlineStr">
        <is>
          <t>Hialeah AC service company, 1-50 staff, indexed since 2015 - established owner-run shop; verify maintenance plan page and online booking.</t>
        </is>
      </c>
      <c r="H136" s="2" t="inlineStr">
        <is>
          <t>miami-dade-north</t>
        </is>
      </c>
      <c r="I136" s="2" t="inlineStr">
        <is>
          <t>http://www.deacoair.com</t>
        </is>
      </c>
    </row>
    <row r="137">
      <c r="A137" s="2" t="inlineStr">
        <is>
          <t>Direct Air Conditioning</t>
        </is>
      </c>
      <c r="B137" s="2" t="inlineStr">
        <is>
          <t>Miami</t>
        </is>
      </c>
      <c r="C137" s="2" t="inlineStr">
        <is>
          <t>Miami-Dade</t>
        </is>
      </c>
      <c r="D137" s="2" t="inlineStr"/>
      <c r="E137" s="2" t="inlineStr">
        <is>
          <t>http://www.directac123.com</t>
        </is>
      </c>
      <c r="F137" s="2" t="inlineStr"/>
      <c r="G137" s="2" t="inlineStr">
        <is>
          <t>Miami AC service company, 1-50 staff; '123' domain pattern typical of small owner-run shop; neighborhood unverified.</t>
        </is>
      </c>
      <c r="H137" s="2" t="inlineStr">
        <is>
          <t>miami-dade-north</t>
        </is>
      </c>
      <c r="I137" s="2" t="inlineStr">
        <is>
          <t>http://www.directac123.com</t>
        </is>
      </c>
    </row>
    <row r="138">
      <c r="A138" s="2" t="inlineStr">
        <is>
          <t>Dual Aire Services</t>
        </is>
      </c>
      <c r="B138" s="2" t="inlineStr">
        <is>
          <t>Hialeah</t>
        </is>
      </c>
      <c r="C138" s="2" t="inlineStr">
        <is>
          <t>Miami-Dade</t>
        </is>
      </c>
      <c r="D138" s="2" t="inlineStr"/>
      <c r="E138" s="2" t="inlineStr">
        <is>
          <t>http://www.dualaire.com</t>
        </is>
      </c>
      <c r="F138" s="2" t="inlineStr"/>
      <c r="G138" s="2" t="inlineStr">
        <is>
          <t>Hialeah AC service company first indexed Dec 2021 - fits the 2021-2025 startup profile; verify owner still in field.</t>
        </is>
      </c>
      <c r="H138" s="2" t="inlineStr">
        <is>
          <t>miami-dade-north</t>
        </is>
      </c>
      <c r="I138" s="2" t="inlineStr">
        <is>
          <t>http://www.dualaire.com</t>
        </is>
      </c>
    </row>
    <row r="139">
      <c r="A139" s="2" t="inlineStr">
        <is>
          <t>Freezing Mechanical Air Conditioning Corp</t>
        </is>
      </c>
      <c r="B139" s="2" t="inlineStr">
        <is>
          <t>Miami Gardens</t>
        </is>
      </c>
      <c r="C139" s="2" t="inlineStr">
        <is>
          <t>Miami-Dade</t>
        </is>
      </c>
      <c r="D139" s="2" t="inlineStr"/>
      <c r="E139" s="2" t="inlineStr">
        <is>
          <t>http://www.freezingmechanical.com</t>
        </is>
      </c>
      <c r="F139" s="2" t="inlineStr"/>
      <c r="G139" s="2" t="inlineStr">
        <is>
          <t>Miami Gardens HVAC contractor first indexed Sep 2023 - young company fitting the scaling profile; verify.</t>
        </is>
      </c>
      <c r="H139" s="2" t="inlineStr">
        <is>
          <t>miami-dade-north</t>
        </is>
      </c>
      <c r="I139" s="2" t="inlineStr">
        <is>
          <t>http://www.freezingmechanical.com</t>
        </is>
      </c>
    </row>
    <row r="140">
      <c r="A140" s="2" t="inlineStr">
        <is>
          <t>Jlopez Service Corp.</t>
        </is>
      </c>
      <c r="B140" s="2" t="inlineStr">
        <is>
          <t>North Miami</t>
        </is>
      </c>
      <c r="C140" s="2" t="inlineStr">
        <is>
          <t>Miami-Dade</t>
        </is>
      </c>
      <c r="D140" s="2" t="inlineStr"/>
      <c r="E140" s="2" t="inlineStr">
        <is>
          <t>http://www.jlopezservicecorp.com</t>
        </is>
      </c>
      <c r="F140" s="2" t="inlineStr"/>
      <c r="G140" s="2" t="inlineStr">
        <is>
          <t>Owner-named HVAC contractor in North Miami (NAICS 23822) first indexed Mar 2024 - owner-operated and young; strong fit to verify.</t>
        </is>
      </c>
      <c r="H140" s="2" t="inlineStr">
        <is>
          <t>miami-dade-north</t>
        </is>
      </c>
      <c r="I140" s="2" t="inlineStr">
        <is>
          <t>http://www.jlopezservicecorp.com</t>
        </is>
      </c>
    </row>
    <row r="141">
      <c r="A141" s="2" t="inlineStr">
        <is>
          <t>Jorda Mechanical Contractor</t>
        </is>
      </c>
      <c r="B141" s="2" t="inlineStr">
        <is>
          <t>Miami</t>
        </is>
      </c>
      <c r="C141" s="2" t="inlineStr">
        <is>
          <t>Miami-Dade</t>
        </is>
      </c>
      <c r="D141" s="2" t="inlineStr"/>
      <c r="E141" s="2" t="inlineStr">
        <is>
          <t>http://www.jordamechanical.com</t>
        </is>
      </c>
      <c r="F141" s="2" t="inlineStr"/>
      <c r="G141" s="2" t="inlineStr">
        <is>
          <t>Owner-named Miami mechanical contractor first indexed Nov 2024 - young, owner-operated; neighborhood unverified.</t>
        </is>
      </c>
      <c r="H141" s="2" t="inlineStr">
        <is>
          <t>miami-dade-north</t>
        </is>
      </c>
      <c r="I141" s="2" t="inlineStr">
        <is>
          <t>http://www.jordamechanical.com</t>
        </is>
      </c>
    </row>
    <row r="142">
      <c r="A142" s="2" t="inlineStr">
        <is>
          <t>Kendale Air Conditioning</t>
        </is>
      </c>
      <c r="B142" s="2" t="inlineStr">
        <is>
          <t>Miami (Kendale Lakes area)</t>
        </is>
      </c>
      <c r="C142" s="2" t="inlineStr">
        <is>
          <t>Miami-Dade</t>
        </is>
      </c>
      <c r="D142" s="2" t="inlineStr"/>
      <c r="E142" s="2" t="inlineStr">
        <is>
          <t>http://www.kendaleair.com</t>
        </is>
      </c>
      <c r="F142" s="2" t="inlineStr"/>
      <c r="G142" s="2" t="inlineStr">
        <is>
          <t>Neighborhood-named AC company in west Miami-Dade, established (indexed 2015); likely owner-operated; verify.</t>
        </is>
      </c>
      <c r="H142" s="2" t="inlineStr">
        <is>
          <t>miami-dade-north</t>
        </is>
      </c>
      <c r="I142" s="2" t="inlineStr">
        <is>
          <t>http://www.kendaleair.com</t>
        </is>
      </c>
    </row>
    <row r="143">
      <c r="A143" s="2" t="inlineStr">
        <is>
          <t>Pilar Services, Inc</t>
        </is>
      </c>
      <c r="B143" s="2" t="inlineStr">
        <is>
          <t>Doral</t>
        </is>
      </c>
      <c r="C143" s="2" t="inlineStr">
        <is>
          <t>Miami-Dade</t>
        </is>
      </c>
      <c r="D143" s="2" t="inlineStr"/>
      <c r="E143" s="2" t="inlineStr">
        <is>
          <t>http://www.pilarservices.com</t>
        </is>
      </c>
      <c r="F143" s="2" t="inlineStr"/>
      <c r="G143" s="2" t="inlineStr">
        <is>
          <t>Doral HVAC contractor first indexed Apr 2021 - fits 2021-2025 startup profile; verify owner-operator status.</t>
        </is>
      </c>
      <c r="H143" s="2" t="inlineStr">
        <is>
          <t>miami-dade-north</t>
        </is>
      </c>
      <c r="I143" s="2" t="inlineStr">
        <is>
          <t>http://www.pilarservices.com</t>
        </is>
      </c>
    </row>
    <row r="144">
      <c r="A144" s="2" t="inlineStr">
        <is>
          <t>Quamec Corp</t>
        </is>
      </c>
      <c r="B144" s="2" t="inlineStr">
        <is>
          <t>Hialeah</t>
        </is>
      </c>
      <c r="C144" s="2" t="inlineStr">
        <is>
          <t>Miami-Dade</t>
        </is>
      </c>
      <c r="D144" s="2" t="inlineStr"/>
      <c r="E144" s="2" t="inlineStr">
        <is>
          <t>http://www.quamec.net</t>
        </is>
      </c>
      <c r="F144" s="2" t="inlineStr"/>
      <c r="G144" s="2" t="inlineStr">
        <is>
          <t>Hialeah mechanical/HVAC contractor, 1-50 staff; .net domain and 2018 index date suggest an older owner-run site - verify booking, reviews, CAC number on call.</t>
        </is>
      </c>
      <c r="H144" s="2" t="inlineStr">
        <is>
          <t>miami-dade-north</t>
        </is>
      </c>
      <c r="I144" s="2" t="inlineStr">
        <is>
          <t>http://www.quamec.net</t>
        </is>
      </c>
    </row>
    <row r="145">
      <c r="A145" s="2" t="inlineStr">
        <is>
          <t>Rapid Response Construction (123 Rapid AC)</t>
        </is>
      </c>
      <c r="B145" s="2" t="inlineStr">
        <is>
          <t>Opa-locka</t>
        </is>
      </c>
      <c r="C145" s="2" t="inlineStr">
        <is>
          <t>Miami-Dade</t>
        </is>
      </c>
      <c r="D145" s="2" t="inlineStr"/>
      <c r="E145" s="2" t="inlineStr">
        <is>
          <t>http://www.123rapidac.com</t>
        </is>
      </c>
      <c r="F145" s="2" t="inlineStr"/>
      <c r="G145" s="2" t="inlineStr">
        <is>
          <t>Opa-locka AC repair brand (domain 123rapidac.com) operating under a construction corp - mixed-trade owner-operator; verify AC share of revenue.</t>
        </is>
      </c>
      <c r="H145" s="2" t="inlineStr">
        <is>
          <t>miami-dade-north</t>
        </is>
      </c>
      <c r="I145" s="2" t="inlineStr">
        <is>
          <t>http://www.123rapidac.com</t>
        </is>
      </c>
    </row>
    <row r="146">
      <c r="A146" s="2" t="inlineStr">
        <is>
          <t>Shores Air Conditioning Inc.</t>
        </is>
      </c>
      <c r="B146" s="2" t="inlineStr">
        <is>
          <t>Miami Shores</t>
        </is>
      </c>
      <c r="C146" s="2" t="inlineStr">
        <is>
          <t>Miami-Dade</t>
        </is>
      </c>
      <c r="D146" s="2" t="inlineStr"/>
      <c r="E146" s="2" t="inlineStr">
        <is>
          <t>http://www.shoresair.com</t>
        </is>
      </c>
      <c r="F146" s="2" t="inlineStr"/>
      <c r="G146" s="2" t="inlineStr">
        <is>
          <t>Neighborhood-named AC company in Miami Shores first indexed Nov 2023 - young, local owner-operator profile; verify.</t>
        </is>
      </c>
      <c r="H146" s="2" t="inlineStr">
        <is>
          <t>miami-dade-north</t>
        </is>
      </c>
      <c r="I146" s="2" t="inlineStr">
        <is>
          <t>http://www.shoresair.com</t>
        </is>
      </c>
    </row>
    <row r="147">
      <c r="A147" s="2" t="inlineStr">
        <is>
          <t>Vmech Mechanical</t>
        </is>
      </c>
      <c r="B147" s="2" t="inlineStr">
        <is>
          <t>Miami Gardens</t>
        </is>
      </c>
      <c r="C147" s="2" t="inlineStr">
        <is>
          <t>Miami-Dade</t>
        </is>
      </c>
      <c r="D147" s="2" t="inlineStr"/>
      <c r="E147" s="2" t="inlineStr">
        <is>
          <t>http://www.vmechac.com</t>
        </is>
      </c>
      <c r="F147" s="2" t="inlineStr"/>
      <c r="G147" s="2" t="inlineStr">
        <is>
          <t>Miami Gardens HVAC contractor (NAICS 23822), indexed since 2015 - established owner-run shop; verify reviews/booking.</t>
        </is>
      </c>
      <c r="H147" s="2" t="inlineStr">
        <is>
          <t>miami-dade-north</t>
        </is>
      </c>
      <c r="I147" s="2" t="inlineStr">
        <is>
          <t>http://www.vmechac.com</t>
        </is>
      </c>
    </row>
    <row r="148">
      <c r="A148" s="2" t="inlineStr">
        <is>
          <t>Holmes Cooling &amp; Heating Inc</t>
        </is>
      </c>
      <c r="B148" s="2" t="inlineStr"/>
      <c r="C148" s="2" t="inlineStr">
        <is>
          <t>Broward (unverified)</t>
        </is>
      </c>
      <c r="D148" s="2" t="inlineStr"/>
      <c r="E148" s="2" t="inlineStr"/>
      <c r="F148" s="2" t="inlineStr"/>
      <c r="G148" s="2" t="inlineStr">
        <is>
          <t>FIT: owner Bart Holmes is 'owner/master technician' with 43 yrs in trade (owner in field); serves Pompano Beach/Coconut Creek; HQ city not confirmed.</t>
        </is>
      </c>
      <c r="H148" s="2" t="inlineStr">
        <is>
          <t>broward-east-north</t>
        </is>
      </c>
      <c r="I148" s="2" t="inlineStr">
        <is>
          <t>https://www.angi.com/companylist/us/fl/pompano-beach/hvac.htm</t>
        </is>
      </c>
    </row>
    <row r="149">
      <c r="A149" s="2" t="inlineStr">
        <is>
          <t>South Florida Air Conditioning, Inc.</t>
        </is>
      </c>
      <c r="B149" s="2" t="inlineStr">
        <is>
          <t>Boca Raton / Deerfield / Delray service area (verify HQ - may be Broward)</t>
        </is>
      </c>
      <c r="C149" s="2" t="inlineStr">
        <is>
          <t>Palm Beach (verify)</t>
        </is>
      </c>
      <c r="D149" s="2" t="inlineStr"/>
      <c r="E149" s="2" t="inlineStr">
        <is>
          <t>https://www.southfloridaair.com/</t>
        </is>
      </c>
      <c r="F149" s="2" t="inlineStr"/>
      <c r="G149" s="2" t="inlineStr">
        <is>
          <t>Family owned and operated since 1972; listed as active employer hiring techs in Boca Raton job search. 50+ year family shop + hiring. Confirm HQ city before calling.</t>
        </is>
      </c>
      <c r="H149" s="2" t="inlineStr">
        <is>
          <t>palm-beach-south</t>
        </is>
      </c>
      <c r="I149" s="2" t="inlineStr">
        <is>
          <t>https://www.southfloridaair.com/</t>
        </is>
      </c>
    </row>
    <row r="150">
      <c r="A150" s="2" t="inlineStr">
        <is>
          <t>4.0 Air, Inc</t>
        </is>
      </c>
      <c r="B150" s="2" t="inlineStr">
        <is>
          <t>Pembroke Pines</t>
        </is>
      </c>
      <c r="C150" s="2" t="inlineStr">
        <is>
          <t>Broward</t>
        </is>
      </c>
      <c r="D150" s="2" t="inlineStr"/>
      <c r="E150" s="2" t="inlineStr"/>
      <c r="F150" s="2" t="inlineStr"/>
      <c r="G150" s="2" t="inlineStr">
        <is>
          <t>BBB A+ near Pembroke Pines. No phone/website in snippet.</t>
        </is>
      </c>
      <c r="H150" s="2" t="inlineStr">
        <is>
          <t>broward-west</t>
        </is>
      </c>
      <c r="I150" s="2" t="inlineStr">
        <is>
          <t>https://www.bbb.org/us/fl/pembroke-pines/category/air-conditioning-contractor/accredited</t>
        </is>
      </c>
    </row>
    <row r="151">
      <c r="A151" s="2" t="inlineStr">
        <is>
          <t>A @ M Air Conditioning and Refrigeration</t>
        </is>
      </c>
      <c r="B151" s="2" t="inlineStr">
        <is>
          <t>Coconut Creek</t>
        </is>
      </c>
      <c r="C151" s="2" t="inlineStr">
        <is>
          <t>Broward</t>
        </is>
      </c>
      <c r="D151" s="2" t="inlineStr"/>
      <c r="E151" s="2" t="inlineStr"/>
      <c r="F151" s="2" t="inlineStr"/>
      <c r="G151" s="2" t="inlineStr">
        <is>
          <t>FIT (small): AC + refrigeration shop, Yelp-only presence found, no website.</t>
        </is>
      </c>
      <c r="H151" s="2" t="inlineStr">
        <is>
          <t>broward-east-north</t>
        </is>
      </c>
      <c r="I151" s="2" t="inlineStr">
        <is>
          <t>https://www.yelp.com/biz/a-m-air-conditioning-and-refrigeration-coconut-creek</t>
        </is>
      </c>
    </row>
    <row r="152">
      <c r="A152" s="2" t="inlineStr">
        <is>
          <t>A Accurate Air Conditioning and Appliance</t>
        </is>
      </c>
      <c r="B152" s="2" t="inlineStr">
        <is>
          <t>Hollywood</t>
        </is>
      </c>
      <c r="C152" s="2" t="inlineStr">
        <is>
          <t>Broward</t>
        </is>
      </c>
      <c r="D152" s="2" t="inlineStr"/>
      <c r="E152" s="2" t="inlineStr"/>
      <c r="F152" s="2" t="inlineStr"/>
      <c r="G152" s="2" t="inlineStr">
        <is>
          <t>FIT: family owned/operated, local resident 20+ yrs; 'never a service charge with repair', Saturday service; Nextdoor-only presence found = no website/booking.</t>
        </is>
      </c>
      <c r="H152" s="2" t="inlineStr">
        <is>
          <t>broward-east-north</t>
        </is>
      </c>
      <c r="I152" s="2" t="inlineStr">
        <is>
          <t>https://nextdoor.com/pages/a-accurate-air-conditioning-and-appliance-hollywood-fl/</t>
        </is>
      </c>
    </row>
    <row r="153">
      <c r="A153" s="2" t="inlineStr">
        <is>
          <t>A R Williams Air Conditioning</t>
        </is>
      </c>
      <c r="B153" s="2" t="inlineStr"/>
      <c r="C153" s="2" t="inlineStr">
        <is>
          <t>Broward</t>
        </is>
      </c>
      <c r="D153" s="2" t="inlineStr"/>
      <c r="E153" s="2" t="inlineStr"/>
      <c r="F153" s="2" t="inlineStr">
        <is>
          <t>128 Yelp</t>
        </is>
      </c>
      <c r="G153" s="2" t="inlineStr">
        <is>
          <t>Family-owned &amp; operated; 4.9 with 128 Yelp reviews; free estimates; surfaces in Plantation top-10. HQ/phone not in snippets.</t>
        </is>
      </c>
      <c r="H153" s="2" t="inlineStr">
        <is>
          <t>broward-west</t>
        </is>
      </c>
      <c r="I153" s="2" t="inlineStr">
        <is>
          <t>https://www.yelp.com/search?cflt=hvac&amp;find_loc=Plantation%2C+FL</t>
        </is>
      </c>
    </row>
    <row r="154">
      <c r="A154" s="2" t="inlineStr">
        <is>
          <t>A Star Air Conditioning</t>
        </is>
      </c>
      <c r="B154" s="2" t="inlineStr">
        <is>
          <t>Fort Lauderdale</t>
        </is>
      </c>
      <c r="C154" s="2" t="inlineStr">
        <is>
          <t>Broward</t>
        </is>
      </c>
      <c r="D154" s="2" t="inlineStr"/>
      <c r="E154" s="2" t="inlineStr">
        <is>
          <t>http://www.astarairconditioning.com</t>
        </is>
      </c>
      <c r="F154" s="2" t="inlineStr"/>
      <c r="G154" s="2" t="inlineStr">
        <is>
          <t>Apollo free lookup (keyword + 'ac repair' tag, 1-50 employees, HQ Fort Lauderdale). Apollo record 2023.</t>
        </is>
      </c>
      <c r="H154" s="2" t="inlineStr">
        <is>
          <t>chambers-networks</t>
        </is>
      </c>
      <c r="I154" s="2" t="inlineStr">
        <is>
          <t>http://www.astarairconditioning.com</t>
        </is>
      </c>
    </row>
    <row r="155">
      <c r="A155" s="2" t="inlineStr">
        <is>
          <t>A+ ESC Air Conditioning Services</t>
        </is>
      </c>
      <c r="B155" s="2" t="inlineStr">
        <is>
          <t>Fort Lauderdale</t>
        </is>
      </c>
      <c r="C155" s="2" t="inlineStr">
        <is>
          <t>Broward</t>
        </is>
      </c>
      <c r="D155" s="2" t="inlineStr"/>
      <c r="E155" s="2" t="inlineStr">
        <is>
          <t>http://www.aescairconditioningservices.com</t>
        </is>
      </c>
      <c r="F155" s="2" t="inlineStr"/>
      <c r="G155" s="2" t="inlineStr">
        <is>
          <t>Apollo free lookup (keyword, 1-50 employees, HQ Fort Lauderdale). Apollo record Jan 2024.</t>
        </is>
      </c>
      <c r="H155" s="2" t="inlineStr">
        <is>
          <t>chambers-networks</t>
        </is>
      </c>
      <c r="I155" s="2" t="inlineStr">
        <is>
          <t>http://www.aescairconditioningservices.com</t>
        </is>
      </c>
    </row>
    <row r="156">
      <c r="A156" s="2" t="inlineStr">
        <is>
          <t>AA Advance Air, Inc.</t>
        </is>
      </c>
      <c r="B156" s="2" t="inlineStr">
        <is>
          <t>Pompano Beach</t>
        </is>
      </c>
      <c r="C156" s="2" t="inlineStr">
        <is>
          <t>Broward</t>
        </is>
      </c>
      <c r="D156" s="2" t="inlineStr"/>
      <c r="E156" s="2" t="inlineStr">
        <is>
          <t>http://www.aaadvanceair.com</t>
        </is>
      </c>
      <c r="F156" s="2" t="inlineStr"/>
      <c r="G156" s="2" t="inlineStr">
        <is>
          <t>11-20 employees; established (Apollo record 2015).</t>
        </is>
      </c>
      <c r="H156" s="2" t="inlineStr">
        <is>
          <t>transition-signals</t>
        </is>
      </c>
      <c r="I156" s="2" t="inlineStr">
        <is>
          <t>https://app.apollo.io/#/organizations/55ec931ff3e5bb13790015b2</t>
        </is>
      </c>
    </row>
    <row r="157">
      <c r="A157" s="2" t="inlineStr">
        <is>
          <t>AAA Modern Air</t>
        </is>
      </c>
      <c r="B157" s="2" t="inlineStr">
        <is>
          <t>Dania Beach</t>
        </is>
      </c>
      <c r="C157" s="2" t="inlineStr">
        <is>
          <t>Broward</t>
        </is>
      </c>
      <c r="D157" s="2" t="inlineStr"/>
      <c r="E157" s="2" t="inlineStr">
        <is>
          <t>https://www.aaamodernair.com/</t>
        </is>
      </c>
      <c r="F157" s="2" t="inlineStr">
        <is>
          <t>1,834 (4.8)</t>
        </is>
      </c>
      <c r="G157" s="2" t="inlineStr">
        <is>
          <t>X - probably too large (1,834 reviews, since 1969, Nextdoor Fave 2025); keep only as a referral-style target.</t>
        </is>
      </c>
      <c r="H157" s="2" t="inlineStr">
        <is>
          <t>broward-east-north</t>
        </is>
      </c>
      <c r="I157" s="2" t="inlineStr">
        <is>
          <t>https://www.aaamodernair.com/history/</t>
        </is>
      </c>
    </row>
    <row r="158">
      <c r="A158" s="2" t="inlineStr">
        <is>
          <t>AAAA A/C Ondemand Inc</t>
        </is>
      </c>
      <c r="B158" s="2" t="inlineStr">
        <is>
          <t>Plantation</t>
        </is>
      </c>
      <c r="C158" s="2" t="inlineStr">
        <is>
          <t>Broward</t>
        </is>
      </c>
      <c r="D158" s="2" t="inlineStr"/>
      <c r="E158" s="2" t="inlineStr"/>
      <c r="F158" s="2" t="inlineStr"/>
      <c r="G158" s="2" t="inlineStr">
        <is>
          <t>BBB profile under Plantation; 'AAAA' alphabetical-directory naming = old-school marketing mindset. No phone in snippet.</t>
        </is>
      </c>
      <c r="H158" s="2" t="inlineStr">
        <is>
          <t>broward-west</t>
        </is>
      </c>
      <c r="I158" s="2" t="inlineStr">
        <is>
          <t>https://www.bbb.org/us/fl/plantation/profile/air-conditioning-contractor/aaaa-ac-ondemand-inc-0633-92042780</t>
        </is>
      </c>
    </row>
    <row r="159">
      <c r="A159" s="2" t="inlineStr">
        <is>
          <t>ABC Mechanical</t>
        </is>
      </c>
      <c r="B159" s="2" t="inlineStr">
        <is>
          <t>Oakland Park</t>
        </is>
      </c>
      <c r="C159" s="2" t="inlineStr">
        <is>
          <t>Broward</t>
        </is>
      </c>
      <c r="D159" s="2" t="inlineStr"/>
      <c r="E159" s="2" t="inlineStr">
        <is>
          <t>http://www.abcairandheating.com</t>
        </is>
      </c>
      <c r="F159" s="2" t="inlineStr"/>
      <c r="G159" s="2" t="inlineStr">
        <is>
          <t>Apollo record Aug 2025 = new; 1-10 employees.</t>
        </is>
      </c>
      <c r="H159" s="2" t="inlineStr">
        <is>
          <t>transition-signals</t>
        </is>
      </c>
      <c r="I159" s="2" t="inlineStr">
        <is>
          <t>https://app.apollo.io/#/organizations/68a81e9d8eb990001981653f</t>
        </is>
      </c>
    </row>
    <row r="160">
      <c r="A160" s="2" t="inlineStr">
        <is>
          <t>ABC Mechanical / ABC Air &amp; Heating</t>
        </is>
      </c>
      <c r="B160" s="2" t="inlineStr">
        <is>
          <t>Oakland Park / Fort Lauderdale</t>
        </is>
      </c>
      <c r="C160" s="2" t="inlineStr">
        <is>
          <t>Broward</t>
        </is>
      </c>
      <c r="D160" s="2" t="inlineStr"/>
      <c r="E160" s="2" t="inlineStr">
        <is>
          <t>http://www.abcairandheating.com</t>
        </is>
      </c>
      <c r="F160" s="2" t="inlineStr"/>
      <c r="G160" s="2" t="inlineStr">
        <is>
          <t>Apollo free lookup: two records, one HQ Oakland Park cluster (abcairandheating.com) and one HQ Fort Lauderdale (abcmechhvac.com, created Jul 2026) = two websites/brands for apparently one shop; classic duplicate-web-property, agency-tracking-number situation. Already in seed sweep under one domain.</t>
        </is>
      </c>
      <c r="H160" s="2" t="inlineStr">
        <is>
          <t>chambers-networks</t>
        </is>
      </c>
      <c r="I160" s="2" t="inlineStr">
        <is>
          <t>http://www.abcmechhvac.com</t>
        </is>
      </c>
    </row>
    <row r="161">
      <c r="A161" s="2" t="inlineStr">
        <is>
          <t>ABC Mechanical HVAC</t>
        </is>
      </c>
      <c r="B161" s="2" t="inlineStr">
        <is>
          <t>Fort Lauderdale</t>
        </is>
      </c>
      <c r="C161" s="2" t="inlineStr">
        <is>
          <t>Broward</t>
        </is>
      </c>
      <c r="D161" s="2" t="inlineStr"/>
      <c r="E161" s="2" t="inlineStr">
        <is>
          <t>http://www.abcmechhvac.com</t>
        </is>
      </c>
      <c r="F161" s="2" t="inlineStr"/>
      <c r="G161" s="2" t="inlineStr">
        <is>
          <t>Apollo record created Jul 2026 = new; 1-10 employees. (Separate entity from 'ABC Mechanical' in Oakland Park.)</t>
        </is>
      </c>
      <c r="H161" s="2" t="inlineStr">
        <is>
          <t>transition-signals</t>
        </is>
      </c>
      <c r="I161" s="2" t="inlineStr">
        <is>
          <t>https://app.apollo.io/#/organizations/6a660aa8632cb70001e301cc</t>
        </is>
      </c>
    </row>
    <row r="162">
      <c r="A162" s="2" t="inlineStr">
        <is>
          <t>AC All Stars</t>
        </is>
      </c>
      <c r="B162" s="2" t="inlineStr">
        <is>
          <t>Fort Lauderdale</t>
        </is>
      </c>
      <c r="C162" s="2" t="inlineStr">
        <is>
          <t>Broward</t>
        </is>
      </c>
      <c r="D162" s="2" t="inlineStr"/>
      <c r="E162" s="2" t="inlineStr">
        <is>
          <t>http://www.legalhvac.com</t>
        </is>
      </c>
      <c r="F162" s="2" t="inlineStr"/>
      <c r="G162" s="2" t="inlineStr">
        <is>
          <t>11-20 employees; Apollo record Apr 2021; website domain (legalhvac.com) does not match brand = possible agency-built or tracking site worth auditing.</t>
        </is>
      </c>
      <c r="H162" s="2" t="inlineStr">
        <is>
          <t>transition-signals</t>
        </is>
      </c>
      <c r="I162" s="2" t="inlineStr">
        <is>
          <t>https://app.apollo.io/#/organizations/6075eb83d46b1300e24aff5a</t>
        </is>
      </c>
    </row>
    <row r="163">
      <c r="A163" s="2" t="inlineStr">
        <is>
          <t>ACA Air Conditioning</t>
        </is>
      </c>
      <c r="B163" s="2" t="inlineStr">
        <is>
          <t>Fort Lauderdale</t>
        </is>
      </c>
      <c r="C163" s="2" t="inlineStr">
        <is>
          <t>Broward</t>
        </is>
      </c>
      <c r="D163" s="2" t="inlineStr"/>
      <c r="E163" s="2" t="inlineStr">
        <is>
          <t>http://www.acaairconditioning.com</t>
        </is>
      </c>
      <c r="F163" s="2" t="inlineStr"/>
      <c r="G163" s="2" t="inlineStr">
        <is>
          <t>Apollo free lookup (keyword, 1-50 employees, HQ Fort Lauderdale). Apollo record Nov 2024 (soft new-business signal).</t>
        </is>
      </c>
      <c r="H163" s="2" t="inlineStr">
        <is>
          <t>chambers-networks</t>
        </is>
      </c>
      <c r="I163" s="2" t="inlineStr">
        <is>
          <t>http://www.acaairconditioning.com</t>
        </is>
      </c>
    </row>
    <row r="164">
      <c r="A164" s="2" t="inlineStr">
        <is>
          <t>Advance America HVAC</t>
        </is>
      </c>
      <c r="B164" s="2" t="inlineStr">
        <is>
          <t>Pembroke Pines / Miramar</t>
        </is>
      </c>
      <c r="C164" s="2" t="inlineStr">
        <is>
          <t>Broward</t>
        </is>
      </c>
      <c r="D164" s="2" t="inlineStr"/>
      <c r="E164" s="2" t="inlineStr">
        <is>
          <t>http://www.advanceamericahvac.com</t>
        </is>
      </c>
      <c r="F164" s="2" t="inlineStr"/>
      <c r="G164" s="2" t="inlineStr">
        <is>
          <t>Apollo free lookup (NAICS 23822 + keyword, 1-50 employees, HQ Pembroke Pines/Miramar). Apollo record Nov 2022 (fits 2021-2025 startup window).</t>
        </is>
      </c>
      <c r="H164" s="2" t="inlineStr">
        <is>
          <t>chambers-networks</t>
        </is>
      </c>
      <c r="I164" s="2" t="inlineStr">
        <is>
          <t>http://www.advanceamericahvac.com</t>
        </is>
      </c>
    </row>
    <row r="165">
      <c r="A165" s="2" t="inlineStr">
        <is>
          <t>Advance Cool Air LLC</t>
        </is>
      </c>
      <c r="B165" s="2" t="inlineStr">
        <is>
          <t>Davie</t>
        </is>
      </c>
      <c r="C165" s="2" t="inlineStr">
        <is>
          <t>Broward</t>
        </is>
      </c>
      <c r="D165" s="2" t="inlineStr"/>
      <c r="E165" s="2" t="inlineStr"/>
      <c r="F165" s="2" t="inlineStr"/>
      <c r="G165" s="2" t="inlineStr">
        <is>
          <t>BBB profile under Davie; LLC, likely newer small shop. No phone in snippet.</t>
        </is>
      </c>
      <c r="H165" s="2" t="inlineStr">
        <is>
          <t>broward-west</t>
        </is>
      </c>
      <c r="I165" s="2" t="inlineStr">
        <is>
          <t>https://www.bbb.org/us/fl/davie/profile/air-conditioning-contractor/advance-cool-air-llc-0633-90614351</t>
        </is>
      </c>
    </row>
    <row r="166">
      <c r="A166" s="2" t="inlineStr">
        <is>
          <t>Advanced Air Conditioning</t>
        </is>
      </c>
      <c r="B166" s="2" t="inlineStr">
        <is>
          <t>Oakland Park / Wilton Manors / LBTS area</t>
        </is>
      </c>
      <c r="C166" s="2" t="inlineStr">
        <is>
          <t>Broward</t>
        </is>
      </c>
      <c r="D166" s="2" t="inlineStr"/>
      <c r="E166" s="2" t="inlineStr">
        <is>
          <t>http://www.acadvanced.com</t>
        </is>
      </c>
      <c r="F166" s="2" t="inlineStr"/>
      <c r="G166" s="2" t="inlineStr">
        <is>
          <t>Apollo free lookup (NAICS 23822 + keyword, 1-50 employees, HQ Oakland Park/Wilton Manors/Lauderdale-by-the-Sea). Apollo record Jul 2024.</t>
        </is>
      </c>
      <c r="H166" s="2" t="inlineStr">
        <is>
          <t>chambers-networks</t>
        </is>
      </c>
      <c r="I166" s="2" t="inlineStr">
        <is>
          <t>http://www.acadvanced.com</t>
        </is>
      </c>
    </row>
    <row r="167">
      <c r="A167" s="2" t="inlineStr">
        <is>
          <t>Advanced Air Systems Florida</t>
        </is>
      </c>
      <c r="B167" s="2" t="inlineStr">
        <is>
          <t>Fort Lauderdale</t>
        </is>
      </c>
      <c r="C167" s="2" t="inlineStr">
        <is>
          <t>Broward</t>
        </is>
      </c>
      <c r="D167" s="2" t="inlineStr"/>
      <c r="E167" s="2" t="inlineStr">
        <is>
          <t>http://www.advancedairsystem.com</t>
        </is>
      </c>
      <c r="F167" s="2" t="inlineStr"/>
      <c r="G167" s="2" t="inlineStr">
        <is>
          <t>11-20 employees; tagged HVAC + plumbing = multi-trade; established.</t>
        </is>
      </c>
      <c r="H167" s="2" t="inlineStr">
        <is>
          <t>transition-signals</t>
        </is>
      </c>
      <c r="I167" s="2" t="inlineStr">
        <is>
          <t>https://app.apollo.io/#/organizations/54a1275e69702dc1280d2d00</t>
        </is>
      </c>
    </row>
    <row r="168">
      <c r="A168" s="2" t="inlineStr">
        <is>
          <t>Advanced Aircare Inc</t>
        </is>
      </c>
      <c r="B168" s="2" t="inlineStr">
        <is>
          <t>Fort Lauderdale</t>
        </is>
      </c>
      <c r="C168" s="2" t="inlineStr">
        <is>
          <t>Broward</t>
        </is>
      </c>
      <c r="D168" s="2" t="inlineStr"/>
      <c r="E168" s="2" t="inlineStr">
        <is>
          <t>http://www.advancedaircareservices.com</t>
        </is>
      </c>
      <c r="F168" s="2" t="inlineStr"/>
      <c r="G168" s="2" t="inlineStr">
        <is>
          <t>Apollo free lookup (keyword, 1-50 employees, HQ Fort Lauderdale).</t>
        </is>
      </c>
      <c r="H168" s="2" t="inlineStr">
        <is>
          <t>chambers-networks</t>
        </is>
      </c>
      <c r="I168" s="2" t="inlineStr">
        <is>
          <t>http://www.advancedaircareservices.com</t>
        </is>
      </c>
    </row>
    <row r="169">
      <c r="A169" s="2" t="inlineStr">
        <is>
          <t>Air Anytime LLC</t>
        </is>
      </c>
      <c r="B169" s="2" t="inlineStr">
        <is>
          <t>Pembroke Pines</t>
        </is>
      </c>
      <c r="C169" s="2" t="inlineStr">
        <is>
          <t>Broward</t>
        </is>
      </c>
      <c r="D169" s="2" t="inlineStr"/>
      <c r="E169" s="2" t="inlineStr">
        <is>
          <t>airanytime.com</t>
        </is>
      </c>
      <c r="F169" s="2" t="inlineStr"/>
      <c r="G169" s="2" t="inlineStr">
        <is>
          <t>Locally owned since 2008; programmatic city pages (Cooper City, Pembroke Pines). Phone not in snippet.</t>
        </is>
      </c>
      <c r="H169" s="2" t="inlineStr">
        <is>
          <t>broward-west</t>
        </is>
      </c>
      <c r="I169" s="2" t="inlineStr">
        <is>
          <t>https://www.airanytime.com/hvac-heating-and-air-conditioning-services-pembr/</t>
        </is>
      </c>
    </row>
    <row r="170">
      <c r="A170" s="2" t="inlineStr">
        <is>
          <t>Air By Us</t>
        </is>
      </c>
      <c r="B170" s="2" t="inlineStr">
        <is>
          <t>Davie / Cooper City / Weston area</t>
        </is>
      </c>
      <c r="C170" s="2" t="inlineStr">
        <is>
          <t>Broward</t>
        </is>
      </c>
      <c r="D170" s="2" t="inlineStr"/>
      <c r="E170" s="2" t="inlineStr">
        <is>
          <t>http://www.airbyus.com</t>
        </is>
      </c>
      <c r="F170" s="2" t="inlineStr"/>
      <c r="G170" s="2" t="inlineStr">
        <is>
          <t>Apollo free lookup (keyword, 1-50 employees, HQ Davie cluster). Established record (2014).</t>
        </is>
      </c>
      <c r="H170" s="2" t="inlineStr">
        <is>
          <t>chambers-networks</t>
        </is>
      </c>
      <c r="I170" s="2" t="inlineStr">
        <is>
          <t>http://www.airbyus.com</t>
        </is>
      </c>
    </row>
    <row r="171">
      <c r="A171" s="2" t="inlineStr">
        <is>
          <t>Air Nifty</t>
        </is>
      </c>
      <c r="B171" s="2" t="inlineStr">
        <is>
          <t>Margate</t>
        </is>
      </c>
      <c r="C171" s="2" t="inlineStr">
        <is>
          <t>Broward</t>
        </is>
      </c>
      <c r="D171" s="2" t="inlineStr"/>
      <c r="E171" s="2" t="inlineStr">
        <is>
          <t>airnifty.com</t>
        </is>
      </c>
      <c r="F171" s="2" t="inlineStr"/>
      <c r="G171" s="2" t="inlineStr">
        <is>
          <t>OUTSIDE WEST-BROWARD ANGLE (Margate) but family-run since 1997, shows CAC1824313, serves Tamarac. Phone not in snippet.</t>
        </is>
      </c>
      <c r="H171" s="2" t="inlineStr">
        <is>
          <t>broward-west</t>
        </is>
      </c>
      <c r="I171" s="2" t="inlineStr">
        <is>
          <t>https://www.airnifty.com/tamarac-ac-repair/</t>
        </is>
      </c>
    </row>
    <row r="172">
      <c r="A172" s="2" t="inlineStr">
        <is>
          <t>Air Nifty Air Conditioning</t>
        </is>
      </c>
      <c r="B172" s="2" t="inlineStr">
        <is>
          <t>Margate</t>
        </is>
      </c>
      <c r="C172" s="2" t="inlineStr">
        <is>
          <t>Broward</t>
        </is>
      </c>
      <c r="D172" s="2" t="inlineStr"/>
      <c r="E172" s="2" t="inlineStr"/>
      <c r="F172" s="2" t="inlineStr"/>
      <c r="G172" s="2" t="inlineStr">
        <is>
          <t>FIT: family-owned, founded 1997; HomeGuide listing appears under a different legal name (Ice C Cool Mechanical Inc) = messy online identity.</t>
        </is>
      </c>
      <c r="H172" s="2" t="inlineStr">
        <is>
          <t>broward-east-north</t>
        </is>
      </c>
      <c r="I172" s="2" t="inlineStr">
        <is>
          <t>https://homeguide.com/fl/margate/central-air-conditioning-repair/ice-c-cool-mechanical--inc-c0Il6z6cP</t>
        </is>
      </c>
    </row>
    <row r="173">
      <c r="A173" s="2" t="inlineStr">
        <is>
          <t>Air Plus Air Conditioning</t>
        </is>
      </c>
      <c r="B173" s="2" t="inlineStr">
        <is>
          <t>Pembroke Pines / Miramar</t>
        </is>
      </c>
      <c r="C173" s="2" t="inlineStr">
        <is>
          <t>Broward</t>
        </is>
      </c>
      <c r="D173" s="2" t="inlineStr"/>
      <c r="E173" s="2" t="inlineStr">
        <is>
          <t>http://www.airplusservices.com</t>
        </is>
      </c>
      <c r="F173" s="2" t="inlineStr"/>
      <c r="G173" s="2" t="inlineStr">
        <is>
          <t>Apollo free lookup (keyword, 1-50 employees, HQ Pembroke Pines/Miramar). Established record (2015).</t>
        </is>
      </c>
      <c r="H173" s="2" t="inlineStr">
        <is>
          <t>chambers-networks</t>
        </is>
      </c>
      <c r="I173" s="2" t="inlineStr">
        <is>
          <t>http://www.airplusservices.com</t>
        </is>
      </c>
    </row>
    <row r="174">
      <c r="A174" s="2" t="inlineStr">
        <is>
          <t>Air Supply A/C Services</t>
        </is>
      </c>
      <c r="B174" s="2" t="inlineStr">
        <is>
          <t>Pembroke Pines</t>
        </is>
      </c>
      <c r="C174" s="2" t="inlineStr">
        <is>
          <t>Broward</t>
        </is>
      </c>
      <c r="D174" s="2" t="inlineStr"/>
      <c r="E174" s="2" t="inlineStr"/>
      <c r="F174" s="2" t="inlineStr"/>
      <c r="G174" s="2" t="inlineStr">
        <is>
          <t>~15 yrs; commercial + residential; indoor air quality; listed on Expertise.com Pembroke Pines AC repair. Phone not in snippet.</t>
        </is>
      </c>
      <c r="H174" s="2" t="inlineStr">
        <is>
          <t>broward-west</t>
        </is>
      </c>
      <c r="I174" s="2" t="inlineStr">
        <is>
          <t>https://www.expertise.com/home-improvement/ac-repair/florida/pembroke-pines</t>
        </is>
      </c>
    </row>
    <row r="175">
      <c r="A175" s="2" t="inlineStr">
        <is>
          <t>Air to Air Repair</t>
        </is>
      </c>
      <c r="B175" s="2" t="inlineStr">
        <is>
          <t>Plantation / Sunrise / Tamarac area</t>
        </is>
      </c>
      <c r="C175" s="2" t="inlineStr">
        <is>
          <t>Broward</t>
        </is>
      </c>
      <c r="D175" s="2" t="inlineStr"/>
      <c r="E175" s="2" t="inlineStr">
        <is>
          <t>http://www.airtoairrepair.com</t>
        </is>
      </c>
      <c r="F175" s="2" t="inlineStr"/>
      <c r="G175" s="2" t="inlineStr">
        <is>
          <t>Apollo free lookup (NAICS 23822 + keyword, 1-50 employees, HQ Plantation/Sunrise cluster). Apollo record 2023; small residential repair shop by name.</t>
        </is>
      </c>
      <c r="H175" s="2" t="inlineStr">
        <is>
          <t>chambers-networks</t>
        </is>
      </c>
      <c r="I175" s="2" t="inlineStr">
        <is>
          <t>http://www.airtoairrepair.com</t>
        </is>
      </c>
    </row>
    <row r="176">
      <c r="A176" s="2" t="inlineStr">
        <is>
          <t>Air-Tech HVAC</t>
        </is>
      </c>
      <c r="B176" s="2" t="inlineStr">
        <is>
          <t>Margate</t>
        </is>
      </c>
      <c r="C176" s="2" t="inlineStr">
        <is>
          <t>Broward</t>
        </is>
      </c>
      <c r="D176" s="2" t="inlineStr"/>
      <c r="E176" s="2" t="inlineStr">
        <is>
          <t>http://www.airtechhvaccorp.com</t>
        </is>
      </c>
      <c r="F176" s="2" t="inlineStr"/>
      <c r="G176" s="2" t="inlineStr">
        <is>
          <t>11-20 employees; Apollo record Oct 2022 = newer company already at 11-20 (fast scaler).</t>
        </is>
      </c>
      <c r="H176" s="2" t="inlineStr">
        <is>
          <t>transition-signals</t>
        </is>
      </c>
      <c r="I176" s="2" t="inlineStr">
        <is>
          <t>https://app.apollo.io/#/organizations/6351701b4eea5400a3129b48</t>
        </is>
      </c>
    </row>
    <row r="177">
      <c r="A177" s="2" t="inlineStr">
        <is>
          <t>Aircon Repair</t>
        </is>
      </c>
      <c r="B177" s="2" t="inlineStr">
        <is>
          <t>Fort Lauderdale</t>
        </is>
      </c>
      <c r="C177" s="2" t="inlineStr">
        <is>
          <t>Broward</t>
        </is>
      </c>
      <c r="D177" s="2" t="inlineStr"/>
      <c r="E177" s="2" t="inlineStr">
        <is>
          <t>http://www.airconrepair.com</t>
        </is>
      </c>
      <c r="F177" s="2" t="inlineStr"/>
      <c r="G177" s="2" t="inlineStr">
        <is>
          <t>Apollo free lookup (NAICS 23822 + keyword, 1-50 employees, HQ Fort Lauderdale). Apollo record Dec 2024.</t>
        </is>
      </c>
      <c r="H177" s="2" t="inlineStr">
        <is>
          <t>chambers-networks</t>
        </is>
      </c>
      <c r="I177" s="2" t="inlineStr">
        <is>
          <t>http://www.airconrepair.com</t>
        </is>
      </c>
    </row>
    <row r="178">
      <c r="A178" s="2" t="inlineStr">
        <is>
          <t>Airreo Air Conditioning</t>
        </is>
      </c>
      <c r="B178" s="2" t="inlineStr">
        <is>
          <t>Hollywood / Dania / Hallandale area</t>
        </is>
      </c>
      <c r="C178" s="2" t="inlineStr">
        <is>
          <t>Broward</t>
        </is>
      </c>
      <c r="D178" s="2" t="inlineStr"/>
      <c r="E178" s="2" t="inlineStr">
        <is>
          <t>http://www.airreoairconditioning.com</t>
        </is>
      </c>
      <c r="F178" s="2" t="inlineStr"/>
      <c r="G178" s="2" t="inlineStr">
        <is>
          <t>Apollo free lookup (keyword, 1-50 employees, HQ Hollywood cluster). Apollo record Oct 2024 (soft new-business signal).</t>
        </is>
      </c>
      <c r="H178" s="2" t="inlineStr">
        <is>
          <t>chambers-networks</t>
        </is>
      </c>
      <c r="I178" s="2" t="inlineStr">
        <is>
          <t>http://www.airreoairconditioning.com</t>
        </is>
      </c>
    </row>
    <row r="179">
      <c r="A179" s="2" t="inlineStr">
        <is>
          <t>All County Air Conditioning Repair</t>
        </is>
      </c>
      <c r="B179" s="2" t="inlineStr">
        <is>
          <t>Plantation / Sunrise / Tamarac area</t>
        </is>
      </c>
      <c r="C179" s="2" t="inlineStr">
        <is>
          <t>Broward</t>
        </is>
      </c>
      <c r="D179" s="2" t="inlineStr"/>
      <c r="E179" s="2" t="inlineStr">
        <is>
          <t>http://www.airconditioningbroward.com</t>
        </is>
      </c>
      <c r="F179" s="2" t="inlineStr"/>
      <c r="G179" s="2" t="inlineStr">
        <is>
          <t>Apollo free lookup (NAICS 23822 + keyword, 1-50 employees, HQ Plantation/Sunrise cluster). Keyword/SEO domain (airconditioningbroward.com) typical of agency-built sites with tracking numbers; 'repair' branding = residential service shop.</t>
        </is>
      </c>
      <c r="H179" s="2" t="inlineStr">
        <is>
          <t>chambers-networks</t>
        </is>
      </c>
      <c r="I179" s="2" t="inlineStr">
        <is>
          <t>http://www.airconditioningbroward.com</t>
        </is>
      </c>
    </row>
    <row r="180">
      <c r="A180" s="2" t="inlineStr">
        <is>
          <t>All Services Air Conditioning, Inc.</t>
        </is>
      </c>
      <c r="B180" s="2" t="inlineStr">
        <is>
          <t>Plantation / Sunrise / Tamarac area</t>
        </is>
      </c>
      <c r="C180" s="2" t="inlineStr">
        <is>
          <t>Broward</t>
        </is>
      </c>
      <c r="D180" s="2" t="inlineStr"/>
      <c r="E180" s="2" t="inlineStr">
        <is>
          <t>http://www.allservicesairconditioning.com</t>
        </is>
      </c>
      <c r="F180" s="2" t="inlineStr"/>
      <c r="G180" s="2" t="inlineStr">
        <is>
          <t>Apollo free lookup (keyword, 1-50 employees, HQ Plantation/Sunrise cluster). Apollo record Oct 2024.</t>
        </is>
      </c>
      <c r="H180" s="2" t="inlineStr">
        <is>
          <t>chambers-networks</t>
        </is>
      </c>
      <c r="I180" s="2" t="inlineStr">
        <is>
          <t>http://www.allservicesairconditioning.com</t>
        </is>
      </c>
    </row>
    <row r="181">
      <c r="A181" s="2" t="inlineStr">
        <is>
          <t>All Year Cooling &amp; Plumbing</t>
        </is>
      </c>
      <c r="B181" s="2" t="inlineStr">
        <is>
          <t>Coral Springs</t>
        </is>
      </c>
      <c r="C181" s="2" t="inlineStr">
        <is>
          <t>Broward</t>
        </is>
      </c>
      <c r="D181" s="2" t="inlineStr"/>
      <c r="E181" s="2" t="inlineStr">
        <is>
          <t>https://allyearcooling.com/</t>
        </is>
      </c>
      <c r="F181" s="2" t="inlineStr"/>
      <c r="G181" s="2" t="inlineStr">
        <is>
          <t>X: Broward-based, 150,000+ installs, too large / out of area</t>
        </is>
      </c>
      <c r="H181" s="2" t="inlineStr">
        <is>
          <t>palm-beach-north</t>
        </is>
      </c>
      <c r="I181" s="2" t="inlineStr">
        <is>
          <t>https://allyearcooling.com/about/areas-we-service/palm-beach-gardens/</t>
        </is>
      </c>
    </row>
    <row r="182">
      <c r="A182" s="2" t="inlineStr">
        <is>
          <t>AM Square Air Conditioning Services Inc.</t>
        </is>
      </c>
      <c r="B182" s="2" t="inlineStr">
        <is>
          <t>Plantation / Sunrise / Tamarac area</t>
        </is>
      </c>
      <c r="C182" s="2" t="inlineStr">
        <is>
          <t>Broward</t>
        </is>
      </c>
      <c r="D182" s="2" t="inlineStr"/>
      <c r="E182" s="2" t="inlineStr">
        <is>
          <t>http://www.amsquareacservices.com</t>
        </is>
      </c>
      <c r="F182" s="2" t="inlineStr"/>
      <c r="G182" s="2" t="inlineStr">
        <is>
          <t>Apollo free lookup (keyword, 1-50 employees, HQ Plantation/Sunrise cluster). Placeholder logo in Apollo = minimal web presence.</t>
        </is>
      </c>
      <c r="H182" s="2" t="inlineStr">
        <is>
          <t>chambers-networks</t>
        </is>
      </c>
      <c r="I182" s="2" t="inlineStr">
        <is>
          <t>http://www.amsquareacservices.com</t>
        </is>
      </c>
    </row>
    <row r="183">
      <c r="A183" s="2" t="inlineStr">
        <is>
          <t>Amplus AC</t>
        </is>
      </c>
      <c r="B183" s="2" t="inlineStr">
        <is>
          <t>Hollywood</t>
        </is>
      </c>
      <c r="C183" s="2" t="inlineStr">
        <is>
          <t>Broward</t>
        </is>
      </c>
      <c r="D183" s="2" t="inlineStr"/>
      <c r="E183" s="2" t="inlineStr">
        <is>
          <t>https://amplusac.com/index.html</t>
        </is>
      </c>
      <c r="F183" s="2" t="inlineStr"/>
      <c r="G183" s="2" t="inlineStr">
        <is>
          <t>FIT: family owned/operated 30+ yrs; website still served as index.html (dated static site) = likely no booking/reviews/maintenance plan.</t>
        </is>
      </c>
      <c r="H183" s="2" t="inlineStr">
        <is>
          <t>broward-east-north</t>
        </is>
      </c>
      <c r="I183" s="2" t="inlineStr">
        <is>
          <t>https://amplusac.com/index.html</t>
        </is>
      </c>
    </row>
    <row r="184">
      <c r="A184" s="2" t="inlineStr">
        <is>
          <t>Aura America HVAC</t>
        </is>
      </c>
      <c r="B184" s="2" t="inlineStr">
        <is>
          <t>Pompano Beach</t>
        </is>
      </c>
      <c r="C184" s="2" t="inlineStr">
        <is>
          <t>Broward</t>
        </is>
      </c>
      <c r="D184" s="2" t="inlineStr"/>
      <c r="E184" s="2" t="inlineStr">
        <is>
          <t>http://www.auraamericahvac.com</t>
        </is>
      </c>
      <c r="F184" s="2" t="inlineStr"/>
      <c r="G184" s="2" t="inlineStr">
        <is>
          <t>Apollo record Jul 2024; 1-10 employees.</t>
        </is>
      </c>
      <c r="H184" s="2" t="inlineStr">
        <is>
          <t>transition-signals</t>
        </is>
      </c>
      <c r="I184" s="2" t="inlineStr">
        <is>
          <t>https://app.apollo.io/#/organizations/6689990850eb8e0001fa839b</t>
        </is>
      </c>
    </row>
    <row r="185">
      <c r="A185" s="2" t="inlineStr">
        <is>
          <t>Benson and Benson Air Conditioning</t>
        </is>
      </c>
      <c r="B185" s="2" t="inlineStr">
        <is>
          <t>Weston</t>
        </is>
      </c>
      <c r="C185" s="2" t="inlineStr">
        <is>
          <t>Broward</t>
        </is>
      </c>
      <c r="D185" s="2" t="inlineStr"/>
      <c r="E185" s="2" t="inlineStr"/>
      <c r="F185" s="2" t="inlineStr"/>
      <c r="G185" s="2" t="inlineStr">
        <is>
          <t>Family-owned &amp; operated; 2500 Weston Road, Weston. Phone not in snippet.</t>
        </is>
      </c>
      <c r="H185" s="2" t="inlineStr">
        <is>
          <t>broward-west</t>
        </is>
      </c>
      <c r="I185" s="2" t="inlineStr">
        <is>
          <t>https://www.yelp.com/search?cflt=hvac&amp;find_loc=Weston%2C+FL</t>
        </is>
      </c>
    </row>
    <row r="186">
      <c r="A186" s="2" t="inlineStr">
        <is>
          <t>Best HAVC</t>
        </is>
      </c>
      <c r="B186" s="2" t="inlineStr">
        <is>
          <t>Pompano Beach</t>
        </is>
      </c>
      <c r="C186" s="2" t="inlineStr">
        <is>
          <t>Broward</t>
        </is>
      </c>
      <c r="D186" s="2" t="inlineStr"/>
      <c r="E186" s="2" t="inlineStr">
        <is>
          <t>http://www.thebesthvac.pro</t>
        </is>
      </c>
      <c r="F186" s="2" t="inlineStr"/>
      <c r="G186" s="2" t="inlineStr">
        <is>
          <t>21-50 employees per Apollo; record Oct 2023; brand misspelled in its own listing and .pro domain = weak web presence. Verify real size.</t>
        </is>
      </c>
      <c r="H186" s="2" t="inlineStr">
        <is>
          <t>transition-signals</t>
        </is>
      </c>
      <c r="I186" s="2" t="inlineStr">
        <is>
          <t>https://app.apollo.io/#/organizations/6541d2147146f500017805d3</t>
        </is>
      </c>
    </row>
    <row r="187">
      <c r="A187" s="2" t="inlineStr">
        <is>
          <t>Brighton Air Conditioning</t>
        </is>
      </c>
      <c r="B187" s="2" t="inlineStr">
        <is>
          <t>Pompano Beach / Deerfield Beach area</t>
        </is>
      </c>
      <c r="C187" s="2" t="inlineStr">
        <is>
          <t>Broward</t>
        </is>
      </c>
      <c r="D187" s="2" t="inlineStr"/>
      <c r="E187" s="2" t="inlineStr">
        <is>
          <t>http://www.brightonair.com</t>
        </is>
      </c>
      <c r="F187" s="2" t="inlineStr"/>
      <c r="G187" s="2" t="inlineStr">
        <is>
          <t>Apollo free lookup (keyword, 1-50 employees, HQ Pompano/Deerfield/LHP). Long-standing record (2014); established small shop.</t>
        </is>
      </c>
      <c r="H187" s="2" t="inlineStr">
        <is>
          <t>chambers-networks</t>
        </is>
      </c>
      <c r="I187" s="2" t="inlineStr">
        <is>
          <t>http://www.brightonair.com</t>
        </is>
      </c>
    </row>
    <row r="188">
      <c r="A188" s="2" t="inlineStr">
        <is>
          <t>Cailis Mechanical Corp</t>
        </is>
      </c>
      <c r="B188" s="2" t="inlineStr">
        <is>
          <t>Fort Lauderdale</t>
        </is>
      </c>
      <c r="C188" s="2" t="inlineStr">
        <is>
          <t>Broward</t>
        </is>
      </c>
      <c r="D188" s="2" t="inlineStr"/>
      <c r="E188" s="2" t="inlineStr">
        <is>
          <t>http://www.cailismechanical.com</t>
        </is>
      </c>
      <c r="F188" s="2" t="inlineStr"/>
      <c r="G188" s="2" t="inlineStr">
        <is>
          <t>Apollo free lookup (NAICS 23822, filtered 1-50 employees, HQ Fort Lauderdale). Commercial mechanical contractor, family name; verify headcount under 60.</t>
        </is>
      </c>
      <c r="H188" s="2" t="inlineStr">
        <is>
          <t>chambers-networks</t>
        </is>
      </c>
      <c r="I188" s="2" t="inlineStr">
        <is>
          <t>http://www.cailismechanical.com</t>
        </is>
      </c>
    </row>
    <row r="189">
      <c r="A189" s="2" t="inlineStr">
        <is>
          <t>Capital Air Conditioning</t>
        </is>
      </c>
      <c r="B189" s="2" t="inlineStr">
        <is>
          <t>Fort Lauderdale</t>
        </is>
      </c>
      <c r="C189" s="2" t="inlineStr">
        <is>
          <t>Broward</t>
        </is>
      </c>
      <c r="D189" s="2" t="inlineStr"/>
      <c r="E189" s="2" t="inlineStr">
        <is>
          <t>https://capital-airconditioning.com/</t>
        </is>
      </c>
      <c r="F189" s="2" t="inlineStr"/>
      <c r="G189" s="2" t="inlineStr">
        <is>
          <t>FIT: since 1985, neighbor-recommended on Nextdoor in Hollywood; bare-bones site title ('Home') = weak web presence.</t>
        </is>
      </c>
      <c r="H189" s="2" t="inlineStr">
        <is>
          <t>broward-east-north</t>
        </is>
      </c>
      <c r="I189" s="2" t="inlineStr">
        <is>
          <t>https://nextdoor.com/pages/capital-air-hollywood-fl/</t>
        </is>
      </c>
    </row>
    <row r="190">
      <c r="A190" s="2" t="inlineStr">
        <is>
          <t>Coastal Plumbing &amp; Mechanical Service</t>
        </is>
      </c>
      <c r="B190" s="2" t="inlineStr">
        <is>
          <t>Fort Lauderdale</t>
        </is>
      </c>
      <c r="C190" s="2" t="inlineStr">
        <is>
          <t>Broward</t>
        </is>
      </c>
      <c r="D190" s="2" t="inlineStr"/>
      <c r="E190" s="2" t="inlineStr">
        <is>
          <t>http://www.coastal-plumber.com</t>
        </is>
      </c>
      <c r="F190" s="2" t="inlineStr"/>
      <c r="G190" s="2" t="inlineStr">
        <is>
          <t>GROWTH: +10%/12 mo; tagged plumbing + HVAC; 1-10 employees; Apollo record Nov 2021. (Not the excluded 'Coastal Comfort'.)</t>
        </is>
      </c>
      <c r="H190" s="2" t="inlineStr">
        <is>
          <t>transition-signals</t>
        </is>
      </c>
      <c r="I190" s="2" t="inlineStr">
        <is>
          <t>https://app.apollo.io/#/organizations/61a607e0c0128700db67ec32</t>
        </is>
      </c>
    </row>
    <row r="191">
      <c r="A191" s="2" t="inlineStr">
        <is>
          <t>Comfactor Air Conditioning</t>
        </is>
      </c>
      <c r="B191" s="2" t="inlineStr">
        <is>
          <t>Davie / Cooper City / Weston area</t>
        </is>
      </c>
      <c r="C191" s="2" t="inlineStr">
        <is>
          <t>Broward</t>
        </is>
      </c>
      <c r="D191" s="2" t="inlineStr"/>
      <c r="E191" s="2" t="inlineStr">
        <is>
          <t>http://www.southfloridaacrepair.com</t>
        </is>
      </c>
      <c r="F191" s="2" t="inlineStr"/>
      <c r="G191" s="2" t="inlineStr">
        <is>
          <t>Apollo free lookup (keyword, 1-50 employees, HQ Davie cluster). SEO domain (southfloridaacrepair.com) = agency-built site; Apollo record Sept 2024.</t>
        </is>
      </c>
      <c r="H191" s="2" t="inlineStr">
        <is>
          <t>chambers-networks</t>
        </is>
      </c>
      <c r="I191" s="2" t="inlineStr">
        <is>
          <t>http://www.southfloridaacrepair.com</t>
        </is>
      </c>
    </row>
    <row r="192">
      <c r="A192" s="2" t="inlineStr">
        <is>
          <t>Comfactor Air Corporation</t>
        </is>
      </c>
      <c r="B192" s="2" t="inlineStr">
        <is>
          <t>Pembroke Pines</t>
        </is>
      </c>
      <c r="C192" s="2" t="inlineStr">
        <is>
          <t>Broward</t>
        </is>
      </c>
      <c r="D192" s="2" t="inlineStr"/>
      <c r="E192" s="2" t="inlineStr"/>
      <c r="F192" s="2" t="inlineStr"/>
      <c r="G192" s="2" t="inlineStr">
        <is>
          <t>BBB A+ accredited since 2008; 20911 Johnson St Ste 102, Pembroke Pines 33029; service/repair/replacement. Phone not in snippet.</t>
        </is>
      </c>
      <c r="H192" s="2" t="inlineStr">
        <is>
          <t>broward-west</t>
        </is>
      </c>
      <c r="I192" s="2" t="inlineStr">
        <is>
          <t>https://www.bbb.org/us/fl/pembroke-pines/profile/air-conditioning-contractor/comfactor-air-corporation-0633-92008238</t>
        </is>
      </c>
    </row>
    <row r="193">
      <c r="A193" s="2" t="inlineStr">
        <is>
          <t>Complete Air Conditioning</t>
        </is>
      </c>
      <c r="B193" s="2" t="inlineStr">
        <is>
          <t>Pompano Beach</t>
        </is>
      </c>
      <c r="C193" s="2" t="inlineStr">
        <is>
          <t>Broward</t>
        </is>
      </c>
      <c r="D193" s="2" t="inlineStr"/>
      <c r="E193" s="2" t="inlineStr"/>
      <c r="F193" s="2" t="inlineStr"/>
      <c r="G193" s="2" t="inlineStr">
        <is>
          <t>FIT (small): BBB-accredited Pompano shop; generic name, no website surfaced = weak findability.</t>
        </is>
      </c>
      <c r="H193" s="2" t="inlineStr">
        <is>
          <t>broward-east-north</t>
        </is>
      </c>
      <c r="I193" s="2" t="inlineStr">
        <is>
          <t>https://www.bbb.org/us/fl/pompano-beach/profile/air-conditioning-contractor/complete-air-conditioning-0633-92003355</t>
        </is>
      </c>
    </row>
    <row r="194">
      <c r="A194" s="2" t="inlineStr">
        <is>
          <t>Cool &amp; Heat Air Conditioning Contractor LLC</t>
        </is>
      </c>
      <c r="B194" s="2" t="inlineStr">
        <is>
          <t>Davie</t>
        </is>
      </c>
      <c r="C194" s="2" t="inlineStr">
        <is>
          <t>Broward</t>
        </is>
      </c>
      <c r="D194" s="2" t="inlineStr"/>
      <c r="E194" s="2" t="inlineStr"/>
      <c r="F194" s="2" t="inlineStr"/>
      <c r="G194" s="2" t="inlineStr">
        <is>
          <t>BBB profile under Davie; LLC naming suggests small/newer shop. No phone in snippet.</t>
        </is>
      </c>
      <c r="H194" s="2" t="inlineStr">
        <is>
          <t>broward-west</t>
        </is>
      </c>
      <c r="I194" s="2" t="inlineStr">
        <is>
          <t>https://www.bbb.org/us/fl/davie/profile/air-conditioning-contractor/cool-heat-air-conditioning-contractor-llc-0633-92035743</t>
        </is>
      </c>
    </row>
    <row r="195">
      <c r="A195" s="2" t="inlineStr">
        <is>
          <t>Cool By Design</t>
        </is>
      </c>
      <c r="B195" s="2" t="inlineStr"/>
      <c r="C195" s="2" t="inlineStr">
        <is>
          <t>Broward</t>
        </is>
      </c>
      <c r="D195" s="2" t="inlineStr"/>
      <c r="E195" s="2" t="inlineStr">
        <is>
          <t>coolbydesignfl.com</t>
        </is>
      </c>
      <c r="F195" s="2" t="inlineStr"/>
      <c r="G195" s="2" t="inlineStr">
        <is>
          <t>Cooper City AC repair landing page. HQ/phone not in snippets.</t>
        </is>
      </c>
      <c r="H195" s="2" t="inlineStr">
        <is>
          <t>broward-west</t>
        </is>
      </c>
      <c r="I195" s="2" t="inlineStr">
        <is>
          <t>https://coolbydesignfl.com/ac-repair-cooper-city-fl/</t>
        </is>
      </c>
    </row>
    <row r="196">
      <c r="A196" s="2" t="inlineStr">
        <is>
          <t>Cool Guys LLC</t>
        </is>
      </c>
      <c r="B196" s="2" t="inlineStr"/>
      <c r="C196" s="2" t="inlineStr">
        <is>
          <t>Broward</t>
        </is>
      </c>
      <c r="D196" s="2" t="inlineStr"/>
      <c r="E196" s="2" t="inlineStr">
        <is>
          <t>coolguysflorida.com</t>
        </is>
      </c>
      <c r="F196" s="2" t="inlineStr"/>
      <c r="G196" s="2" t="inlineStr">
        <is>
          <t>Locally owned &amp; operated; programmatic pages for Pembroke Pines, Cooper City, Southwest Ranches (SW Broward focus). HQ city and phone not in snippets.</t>
        </is>
      </c>
      <c r="H196" s="2" t="inlineStr">
        <is>
          <t>broward-west</t>
        </is>
      </c>
      <c r="I196" s="2" t="inlineStr">
        <is>
          <t>https://coolguysflorida.com/ac-repair/pembroke-pines-fl/</t>
        </is>
      </c>
    </row>
    <row r="197">
      <c r="A197" s="2" t="inlineStr">
        <is>
          <t>Cool Thunder, Inc</t>
        </is>
      </c>
      <c r="B197" s="2" t="inlineStr">
        <is>
          <t>Pembroke Pines</t>
        </is>
      </c>
      <c r="C197" s="2" t="inlineStr">
        <is>
          <t>Broward</t>
        </is>
      </c>
      <c r="D197" s="2" t="inlineStr"/>
      <c r="E197" s="2" t="inlineStr"/>
      <c r="F197" s="2" t="inlineStr"/>
      <c r="G197" s="2" t="inlineStr">
        <is>
          <t>BBB A+ near Pembroke Pines. No phone/website in snippet.</t>
        </is>
      </c>
      <c r="H197" s="2" t="inlineStr">
        <is>
          <t>broward-west</t>
        </is>
      </c>
      <c r="I197" s="2" t="inlineStr">
        <is>
          <t>https://www.bbb.org/us/fl/pembroke-pines/category/air-conditioning-contractor/accredited</t>
        </is>
      </c>
    </row>
    <row r="198">
      <c r="A198" s="2" t="inlineStr">
        <is>
          <t>Cooling Clinic USA</t>
        </is>
      </c>
      <c r="B198" s="2" t="inlineStr">
        <is>
          <t>Fort Lauderdale</t>
        </is>
      </c>
      <c r="C198" s="2" t="inlineStr">
        <is>
          <t>Broward</t>
        </is>
      </c>
      <c r="D198" s="2" t="inlineStr"/>
      <c r="E198" s="2" t="inlineStr">
        <is>
          <t>http://www.coolingclinicusa.com</t>
        </is>
      </c>
      <c r="F198" s="2" t="inlineStr"/>
      <c r="G198" s="2" t="inlineStr">
        <is>
          <t>Apollo free lookup (keyword, 1-50 employees, HQ Fort Lauderdale). Apollo record 2023.</t>
        </is>
      </c>
      <c r="H198" s="2" t="inlineStr">
        <is>
          <t>chambers-networks</t>
        </is>
      </c>
      <c r="I198" s="2" t="inlineStr">
        <is>
          <t>http://www.coolingclinicusa.com</t>
        </is>
      </c>
    </row>
    <row r="199">
      <c r="A199" s="2" t="inlineStr">
        <is>
          <t>Cooltrace International Corporation</t>
        </is>
      </c>
      <c r="B199" s="2" t="inlineStr">
        <is>
          <t>Davie</t>
        </is>
      </c>
      <c r="C199" s="2" t="inlineStr">
        <is>
          <t>Broward</t>
        </is>
      </c>
      <c r="D199" s="2" t="inlineStr"/>
      <c r="E199" s="2" t="inlineStr">
        <is>
          <t>http://www.cooltrace.com</t>
        </is>
      </c>
      <c r="F199" s="2" t="inlineStr"/>
      <c r="G199" s="2" t="inlineStr">
        <is>
          <t>GROWTH: +10%/12 mo and +5%/6 mo; 11-20 employees; tagged HVAC + plumbing + refrigeration (NAICS 23822). Caveat: 'International Corp' name - confirm it is a service contractor, not equipment export.</t>
        </is>
      </c>
      <c r="H199" s="2" t="inlineStr">
        <is>
          <t>transition-signals</t>
        </is>
      </c>
      <c r="I199" s="2" t="inlineStr">
        <is>
          <t>https://app.apollo.io/#/organizations/5e5610db9758fe0001e7d1e1</t>
        </is>
      </c>
    </row>
    <row r="200">
      <c r="A200" s="2" t="inlineStr">
        <is>
          <t>Coral Springs Air Conditioning</t>
        </is>
      </c>
      <c r="B200" s="2" t="inlineStr">
        <is>
          <t>Coral Springs</t>
        </is>
      </c>
      <c r="C200" s="2" t="inlineStr">
        <is>
          <t>Broward</t>
        </is>
      </c>
      <c r="D200" s="2" t="inlineStr"/>
      <c r="E200" s="2" t="inlineStr">
        <is>
          <t>http://www.coralsprings-airconditioning.com</t>
        </is>
      </c>
      <c r="F200" s="2" t="inlineStr"/>
      <c r="G200" s="2" t="inlineStr">
        <is>
          <t>Apollo free lookup (keyword, 1-50 employees, HQ Coral Springs cluster). City-keyword domain = SEO/agency setup; Apollo record Oct 2024.</t>
        </is>
      </c>
      <c r="H200" s="2" t="inlineStr">
        <is>
          <t>chambers-networks</t>
        </is>
      </c>
      <c r="I200" s="2" t="inlineStr">
        <is>
          <t>http://www.coralsprings-airconditioning.com</t>
        </is>
      </c>
    </row>
    <row r="201">
      <c r="A201" s="2" t="inlineStr">
        <is>
          <t>CTC Mechanical Contractors</t>
        </is>
      </c>
      <c r="B201" s="2" t="inlineStr">
        <is>
          <t>Pompano Beach / Deerfield Beach area</t>
        </is>
      </c>
      <c r="C201" s="2" t="inlineStr">
        <is>
          <t>Broward</t>
        </is>
      </c>
      <c r="D201" s="2" t="inlineStr"/>
      <c r="E201" s="2" t="inlineStr">
        <is>
          <t>http://www.ctcmech.com</t>
        </is>
      </c>
      <c r="F201" s="2" t="inlineStr"/>
      <c r="G201" s="2" t="inlineStr">
        <is>
          <t>Apollo free lookup (NAICS 23822, 1-50 employees, HQ Pompano/Deerfield/LHP). Commercial mechanical; Apollo record 2023; verify size.</t>
        </is>
      </c>
      <c r="H201" s="2" t="inlineStr">
        <is>
          <t>chambers-networks</t>
        </is>
      </c>
      <c r="I201" s="2" t="inlineStr">
        <is>
          <t>http://www.ctcmech.com</t>
        </is>
      </c>
    </row>
    <row r="202">
      <c r="A202" s="2" t="inlineStr">
        <is>
          <t>Cusano Air Conditioning</t>
        </is>
      </c>
      <c r="B202" s="2" t="inlineStr"/>
      <c r="C202" s="2" t="inlineStr">
        <is>
          <t>Broward</t>
        </is>
      </c>
      <c r="D202" s="2" t="inlineStr"/>
      <c r="E202" s="2" t="inlineStr">
        <is>
          <t>cusanoairconditioning.com</t>
        </is>
      </c>
      <c r="F202" s="2" t="inlineStr"/>
      <c r="G202" s="2" t="inlineStr">
        <is>
          <t>Family-surname brand; res + comm; Lauderhill service-area page. HQ/phone not in snippets.</t>
        </is>
      </c>
      <c r="H202" s="2" t="inlineStr">
        <is>
          <t>broward-west</t>
        </is>
      </c>
      <c r="I202" s="2" t="inlineStr">
        <is>
          <t>https://www.cusanoairconditioning.com/service-areas/ac-repair-lauderhill/</t>
        </is>
      </c>
    </row>
    <row r="203">
      <c r="A203" s="2" t="inlineStr">
        <is>
          <t>CV AC Expert LLC</t>
        </is>
      </c>
      <c r="B203" s="2" t="inlineStr">
        <is>
          <t>Davie</t>
        </is>
      </c>
      <c r="C203" s="2" t="inlineStr">
        <is>
          <t>Broward</t>
        </is>
      </c>
      <c r="D203" s="2" t="inlineStr"/>
      <c r="E203" s="2" t="inlineStr"/>
      <c r="F203" s="2" t="inlineStr"/>
      <c r="G203" s="2" t="inlineStr">
        <is>
          <t>BBB profile under Davie; LLC, likely newer small shop. No phone in snippet.</t>
        </is>
      </c>
      <c r="H203" s="2" t="inlineStr">
        <is>
          <t>broward-west</t>
        </is>
      </c>
      <c r="I203" s="2" t="inlineStr">
        <is>
          <t>https://www.bbb.org/us/fl/davie/profile/air-conditioning-contractor/cv-ac-expert-llc-0633-92081544</t>
        </is>
      </c>
    </row>
    <row r="204">
      <c r="A204" s="2" t="inlineStr">
        <is>
          <t>DNA Air Conditioning</t>
        </is>
      </c>
      <c r="B204" s="2" t="inlineStr">
        <is>
          <t>Sunrise</t>
        </is>
      </c>
      <c r="C204" s="2" t="inlineStr">
        <is>
          <t>Broward</t>
        </is>
      </c>
      <c r="D204" s="2" t="inlineStr"/>
      <c r="E204" s="2" t="inlineStr">
        <is>
          <t>http://www.dnaairconditioning.com</t>
        </is>
      </c>
      <c r="F204" s="2" t="inlineStr"/>
      <c r="G204" s="2" t="inlineStr">
        <is>
          <t>Apollo record Mar 2023; 1-10 employees.</t>
        </is>
      </c>
      <c r="H204" s="2" t="inlineStr">
        <is>
          <t>transition-signals</t>
        </is>
      </c>
      <c r="I204" s="2" t="inlineStr">
        <is>
          <t>https://app.apollo.io/#/organizations/640b063b61bd8d00012ed4a2</t>
        </is>
      </c>
    </row>
    <row r="205">
      <c r="A205" s="2" t="inlineStr">
        <is>
          <t>Dr Fin AC and Plumbing</t>
        </is>
      </c>
      <c r="B205" s="2" t="inlineStr">
        <is>
          <t>Pompano Beach / Deerfield Beach area</t>
        </is>
      </c>
      <c r="C205" s="2" t="inlineStr">
        <is>
          <t>Broward</t>
        </is>
      </c>
      <c r="D205" s="2" t="inlineStr"/>
      <c r="E205" s="2" t="inlineStr">
        <is>
          <t>http://www.drfinac.com</t>
        </is>
      </c>
      <c r="F205" s="2" t="inlineStr"/>
      <c r="G205" s="2" t="inlineStr">
        <is>
          <t>Apollo free lookup (keyword, 1-50 employees, HQ Pompano/Deerfield/LHP). HVAC + plumbing; Apollo record created Sept 2026 (very new web presence = likely startup 2024-2026). Verify.</t>
        </is>
      </c>
      <c r="H205" s="2" t="inlineStr">
        <is>
          <t>chambers-networks</t>
        </is>
      </c>
      <c r="I205" s="2" t="inlineStr">
        <is>
          <t>http://www.drfinac.com</t>
        </is>
      </c>
    </row>
    <row r="206">
      <c r="A206" s="2" t="inlineStr">
        <is>
          <t>Duct &amp; AC Masters</t>
        </is>
      </c>
      <c r="B206" s="2" t="inlineStr">
        <is>
          <t>Fort Lauderdale</t>
        </is>
      </c>
      <c r="C206" s="2" t="inlineStr">
        <is>
          <t>Broward</t>
        </is>
      </c>
      <c r="D206" s="2" t="inlineStr"/>
      <c r="E206" s="2" t="inlineStr">
        <is>
          <t>http://www.ductandacmastersllc.com</t>
        </is>
      </c>
      <c r="F206" s="2" t="inlineStr"/>
      <c r="G206" s="2" t="inlineStr">
        <is>
          <t>Apollo free lookup (keyword, 1-50 employees, HQ Fort Lauderdale). LLC with Apollo record Jun 2025 = young company; confirm it does AC service, not duct cleaning only.</t>
        </is>
      </c>
      <c r="H206" s="2" t="inlineStr">
        <is>
          <t>chambers-networks</t>
        </is>
      </c>
      <c r="I206" s="2" t="inlineStr">
        <is>
          <t>http://www.ductandacmastersllc.com</t>
        </is>
      </c>
    </row>
    <row r="207">
      <c r="A207" s="2" t="inlineStr">
        <is>
          <t>E.H. Whitson Plumbing and Air Conditioning</t>
        </is>
      </c>
      <c r="B207" s="2" t="inlineStr">
        <is>
          <t>Hollywood / Dania / Hallandale area</t>
        </is>
      </c>
      <c r="C207" s="2" t="inlineStr">
        <is>
          <t>Broward</t>
        </is>
      </c>
      <c r="D207" s="2" t="inlineStr"/>
      <c r="E207" s="2" t="inlineStr">
        <is>
          <t>http://www.ehwhitson.com</t>
        </is>
      </c>
      <c r="F207" s="2" t="inlineStr"/>
      <c r="G207" s="2" t="inlineStr">
        <is>
          <t>Apollo free lookup (keyword, 1-50 employees, HQ Hollywood cluster). HVAC + plumbing, family-name legacy firm; placeholder logo = dated web presence.</t>
        </is>
      </c>
      <c r="H207" s="2" t="inlineStr">
        <is>
          <t>chambers-networks</t>
        </is>
      </c>
      <c r="I207" s="2" t="inlineStr">
        <is>
          <t>http://www.ehwhitson.com</t>
        </is>
      </c>
    </row>
    <row r="208">
      <c r="A208" s="2" t="inlineStr">
        <is>
          <t>Echo Air Conditioning, Corp.</t>
        </is>
      </c>
      <c r="B208" s="2" t="inlineStr">
        <is>
          <t>Oakland Park / Wilton Manors / LBTS area</t>
        </is>
      </c>
      <c r="C208" s="2" t="inlineStr">
        <is>
          <t>Broward</t>
        </is>
      </c>
      <c r="D208" s="2" t="inlineStr"/>
      <c r="E208" s="2" t="inlineStr">
        <is>
          <t>http://www.echohvac.com</t>
        </is>
      </c>
      <c r="F208" s="2" t="inlineStr"/>
      <c r="G208" s="2" t="inlineStr">
        <is>
          <t>Apollo free lookup (keyword, 1-50 employees, HQ Oakland Park cluster). Apollo record Nov 2021 (fits 2021-2025 window).</t>
        </is>
      </c>
      <c r="H208" s="2" t="inlineStr">
        <is>
          <t>chambers-networks</t>
        </is>
      </c>
      <c r="I208" s="2" t="inlineStr">
        <is>
          <t>http://www.echohvac.com</t>
        </is>
      </c>
    </row>
    <row r="209">
      <c r="A209" s="2" t="inlineStr">
        <is>
          <t>Elsmar Air Conditioning</t>
        </is>
      </c>
      <c r="B209" s="2" t="inlineStr">
        <is>
          <t>Plantation / Sunrise / Tamarac area</t>
        </is>
      </c>
      <c r="C209" s="2" t="inlineStr">
        <is>
          <t>Broward</t>
        </is>
      </c>
      <c r="D209" s="2" t="inlineStr"/>
      <c r="E209" s="2" t="inlineStr">
        <is>
          <t>http://www.elsmarair.com</t>
        </is>
      </c>
      <c r="F209" s="2" t="inlineStr"/>
      <c r="G209" s="2" t="inlineStr">
        <is>
          <t>Apollo free lookup (keyword, 1-50 employees, HQ Plantation/Sunrise cluster). Apollo record created Aug 2025 (soft new-business signal). In Sunrise/Plantation chamber territory; check chamber directories for membership.</t>
        </is>
      </c>
      <c r="H209" s="2" t="inlineStr">
        <is>
          <t>chambers-networks</t>
        </is>
      </c>
      <c r="I209" s="2" t="inlineStr">
        <is>
          <t>http://www.elsmarair.com</t>
        </is>
      </c>
    </row>
    <row r="210">
      <c r="A210" s="2" t="inlineStr">
        <is>
          <t>Empire Home Pros</t>
        </is>
      </c>
      <c r="B210" s="2" t="inlineStr">
        <is>
          <t>Oakland Park</t>
        </is>
      </c>
      <c r="C210" s="2" t="inlineStr">
        <is>
          <t>Broward</t>
        </is>
      </c>
      <c r="D210" s="2" t="inlineStr"/>
      <c r="E210" s="2" t="inlineStr"/>
      <c r="F210" s="2" t="inlineStr"/>
      <c r="G210" s="2" t="inlineStr">
        <is>
          <t>GROWTH: +10%/12 mo and +5%/6 mo; tagged HVAC, NAICS 23822; no website on file; Apollo record Oct 2024. Caveat: may be general home services - verify HVAC focus.</t>
        </is>
      </c>
      <c r="H210" s="2" t="inlineStr">
        <is>
          <t>transition-signals</t>
        </is>
      </c>
      <c r="I210" s="2" t="inlineStr">
        <is>
          <t>https://app.apollo.io/#/organizations/67018fed16a1c8000106f354</t>
        </is>
      </c>
    </row>
    <row r="211">
      <c r="A211" s="2" t="inlineStr">
        <is>
          <t>Engineered Air, LLC. (ZoomZoom AC)</t>
        </is>
      </c>
      <c r="B211" s="2" t="inlineStr">
        <is>
          <t>Pompano Beach</t>
        </is>
      </c>
      <c r="C211" s="2" t="inlineStr">
        <is>
          <t>Broward</t>
        </is>
      </c>
      <c r="D211" s="2" t="inlineStr"/>
      <c r="E211" s="2" t="inlineStr">
        <is>
          <t>http://www.zoomzoomac.com</t>
        </is>
      </c>
      <c r="F211" s="2" t="inlineStr"/>
      <c r="G211" s="2" t="inlineStr">
        <is>
          <t>21-50 employees; website brand (ZoomZoom AC) differs from legal name = rebrand / agency-site signal.</t>
        </is>
      </c>
      <c r="H211" s="2" t="inlineStr">
        <is>
          <t>transition-signals</t>
        </is>
      </c>
      <c r="I211" s="2" t="inlineStr">
        <is>
          <t>https://app.apollo.io/#/organizations/54a1ba597468694f8fa9de0b</t>
        </is>
      </c>
    </row>
    <row r="212">
      <c r="A212" s="2" t="inlineStr">
        <is>
          <t>Expert Air Advice, Inc.</t>
        </is>
      </c>
      <c r="B212" s="2" t="inlineStr">
        <is>
          <t>Fort Lauderdale</t>
        </is>
      </c>
      <c r="C212" s="2" t="inlineStr">
        <is>
          <t>Broward</t>
        </is>
      </c>
      <c r="D212" s="2" t="inlineStr"/>
      <c r="E212" s="2" t="inlineStr"/>
      <c r="F212" s="2" t="inlineStr"/>
      <c r="G212" s="2" t="inlineStr">
        <is>
          <t>FIT: established 1986, on Expertise Fort Lauderdale list; no website/phone in snippets.</t>
        </is>
      </c>
      <c r="H212" s="2" t="inlineStr">
        <is>
          <t>broward-east-north</t>
        </is>
      </c>
      <c r="I212" s="2" t="inlineStr">
        <is>
          <t>https://www.expertise.com/home-improvement/hvac/florida/fort-lauderdale</t>
        </is>
      </c>
    </row>
    <row r="213">
      <c r="A213" s="2" t="inlineStr">
        <is>
          <t>Expert Cool Air Conditioning</t>
        </is>
      </c>
      <c r="B213" s="2" t="inlineStr">
        <is>
          <t>Coral Springs / Margate / Coconut Creek / Parkland area</t>
        </is>
      </c>
      <c r="C213" s="2" t="inlineStr">
        <is>
          <t>Broward</t>
        </is>
      </c>
      <c r="D213" s="2" t="inlineStr"/>
      <c r="E213" s="2" t="inlineStr">
        <is>
          <t>http://www.expertcoolac.com</t>
        </is>
      </c>
      <c r="F213" s="2" t="inlineStr"/>
      <c r="G213" s="2" t="inlineStr">
        <is>
          <t>Apollo free lookup (keyword, 1-50 employees, HQ Coral Springs cluster). Apollo record Oct 2024; placeholder logo.</t>
        </is>
      </c>
      <c r="H213" s="2" t="inlineStr">
        <is>
          <t>chambers-networks</t>
        </is>
      </c>
      <c r="I213" s="2" t="inlineStr">
        <is>
          <t>http://www.expertcoolac.com</t>
        </is>
      </c>
    </row>
    <row r="214">
      <c r="A214" s="2" t="inlineStr">
        <is>
          <t>First Call Services</t>
        </is>
      </c>
      <c r="B214" s="2" t="inlineStr">
        <is>
          <t>Pompano Beach</t>
        </is>
      </c>
      <c r="C214" s="2" t="inlineStr">
        <is>
          <t>Broward</t>
        </is>
      </c>
      <c r="D214" s="2" t="inlineStr"/>
      <c r="E214" s="2" t="inlineStr">
        <is>
          <t>http://www.firstcall.cc</t>
        </is>
      </c>
      <c r="F214" s="2" t="inlineStr"/>
      <c r="G214" s="2" t="inlineStr">
        <is>
          <t>11-20 employees; tagged HVAC/air conditioning; .cc domain = dated web setup worth auditing.</t>
        </is>
      </c>
      <c r="H214" s="2" t="inlineStr">
        <is>
          <t>transition-signals</t>
        </is>
      </c>
      <c r="I214" s="2" t="inlineStr">
        <is>
          <t>https://app.apollo.io/#/organizations/5500c932736964611d746100</t>
        </is>
      </c>
    </row>
    <row r="215">
      <c r="A215" s="2" t="inlineStr">
        <is>
          <t>First Choice Air &amp; Heat</t>
        </is>
      </c>
      <c r="B215" s="2" t="inlineStr">
        <is>
          <t>Pembroke Pines</t>
        </is>
      </c>
      <c r="C215" s="2" t="inlineStr">
        <is>
          <t>Broward</t>
        </is>
      </c>
      <c r="D215" s="2" t="inlineStr"/>
      <c r="E215" s="2" t="inlineStr"/>
      <c r="F215" s="2" t="inlineStr"/>
      <c r="G215" s="2" t="inlineStr">
        <is>
          <t>Nextdoor-recommended; same-day service; AC + duct cleaning + air quality testing; no website surfaced in results.</t>
        </is>
      </c>
      <c r="H215" s="2" t="inlineStr">
        <is>
          <t>broward-west</t>
        </is>
      </c>
      <c r="I215" s="2" t="inlineStr">
        <is>
          <t>https://nextdoor.com/pages/first-choice-air-heat-pembroke-pines-fl/</t>
        </is>
      </c>
    </row>
    <row r="216">
      <c r="A216" s="2" t="inlineStr">
        <is>
          <t>First Class Air Conditioning and Appliances</t>
        </is>
      </c>
      <c r="B216" s="2" t="inlineStr">
        <is>
          <t>Davie / Cooper City / Weston area</t>
        </is>
      </c>
      <c r="C216" s="2" t="inlineStr">
        <is>
          <t>Broward</t>
        </is>
      </c>
      <c r="D216" s="2" t="inlineStr"/>
      <c r="E216" s="2" t="inlineStr">
        <is>
          <t>http://www.firstclassaa.com</t>
        </is>
      </c>
      <c r="F216" s="2" t="inlineStr"/>
      <c r="G216" s="2" t="inlineStr">
        <is>
          <t>Apollo free lookup (keyword, 1-50 employees, HQ Davie cluster). HVAC + appliance; Apollo record Oct 2024; placeholder logo.</t>
        </is>
      </c>
      <c r="H216" s="2" t="inlineStr">
        <is>
          <t>chambers-networks</t>
        </is>
      </c>
      <c r="I216" s="2" t="inlineStr">
        <is>
          <t>http://www.firstclassaa.com</t>
        </is>
      </c>
    </row>
    <row r="217">
      <c r="A217" s="2" t="inlineStr">
        <is>
          <t>Flash Freeze Air Conditioning, Inc.</t>
        </is>
      </c>
      <c r="B217" s="2" t="inlineStr">
        <is>
          <t>Davie</t>
        </is>
      </c>
      <c r="C217" s="2" t="inlineStr">
        <is>
          <t>Broward</t>
        </is>
      </c>
      <c r="D217" s="2" t="inlineStr"/>
      <c r="E217" s="2" t="inlineStr"/>
      <c r="F217" s="2" t="inlineStr"/>
      <c r="G217" s="2" t="inlineStr">
        <is>
          <t>BBB profile (not accredited) under Davie. No phone in snippet.</t>
        </is>
      </c>
      <c r="H217" s="2" t="inlineStr">
        <is>
          <t>broward-west</t>
        </is>
      </c>
      <c r="I217" s="2" t="inlineStr">
        <is>
          <t>https://www.bbb.org/us/fl/davie/profile/air-conditioning-contractor/flash-freeze-air-conditioning-inc-0633-92028348</t>
        </is>
      </c>
    </row>
    <row r="218">
      <c r="A218" s="2" t="inlineStr">
        <is>
          <t>Florida Air Conditioning 5 Star</t>
        </is>
      </c>
      <c r="B218" s="2" t="inlineStr">
        <is>
          <t>Pembroke Pines / Miramar</t>
        </is>
      </c>
      <c r="C218" s="2" t="inlineStr">
        <is>
          <t>Broward</t>
        </is>
      </c>
      <c r="D218" s="2" t="inlineStr"/>
      <c r="E218" s="2" t="inlineStr">
        <is>
          <t>http://www.floridaairconditioning.net</t>
        </is>
      </c>
      <c r="F218" s="2" t="inlineStr"/>
      <c r="G218" s="2" t="inlineStr">
        <is>
          <t>Apollo free lookup (keyword, 1-50 employees, HQ Pembroke Pines/Miramar). Apollo record Dec 2024; review-count branding ('5 Star') suggests reputation-driven residential shop.</t>
        </is>
      </c>
      <c r="H218" s="2" t="inlineStr">
        <is>
          <t>chambers-networks</t>
        </is>
      </c>
      <c r="I218" s="2" t="inlineStr">
        <is>
          <t>http://www.floridaairconditioning.net</t>
        </is>
      </c>
    </row>
    <row r="219">
      <c r="A219" s="2" t="inlineStr">
        <is>
          <t>Florida Home360</t>
        </is>
      </c>
      <c r="B219" s="2" t="inlineStr">
        <is>
          <t>Pembroke Pines</t>
        </is>
      </c>
      <c r="C219" s="2" t="inlineStr">
        <is>
          <t>Broward</t>
        </is>
      </c>
      <c r="D219" s="2" t="inlineStr"/>
      <c r="E219" s="2" t="inlineStr">
        <is>
          <t>http://www.floridahome360.com</t>
        </is>
      </c>
      <c r="F219" s="2" t="inlineStr"/>
      <c r="G219" s="2" t="inlineStr">
        <is>
          <t>GROWTH: +10%/12 mo and +5%/6 mo; 21-50 employees; tagged HVAC. Caveat: name suggests a multi-service / home-warranty model - verify it is a contractor before calling.</t>
        </is>
      </c>
      <c r="H219" s="2" t="inlineStr">
        <is>
          <t>transition-signals</t>
        </is>
      </c>
      <c r="I219" s="2" t="inlineStr">
        <is>
          <t>https://app.apollo.io/#/organizations/54a11b2269702d9a8b071800</t>
        </is>
      </c>
    </row>
    <row r="220">
      <c r="A220" s="2" t="inlineStr">
        <is>
          <t>Florida Mechanical Air Conditioning</t>
        </is>
      </c>
      <c r="B220" s="2" t="inlineStr">
        <is>
          <t>Pompano Beach</t>
        </is>
      </c>
      <c r="C220" s="2" t="inlineStr">
        <is>
          <t>Broward</t>
        </is>
      </c>
      <c r="D220" s="2" t="inlineStr"/>
      <c r="E220" s="2" t="inlineStr"/>
      <c r="F220" s="2" t="inlineStr"/>
      <c r="G220" s="2" t="inlineStr">
        <is>
          <t>FIT (verify not related to FMBS): Pompano Beach Angi listing; no website/phone in snippets.</t>
        </is>
      </c>
      <c r="H220" s="2" t="inlineStr">
        <is>
          <t>broward-east-north</t>
        </is>
      </c>
      <c r="I220" s="2" t="inlineStr">
        <is>
          <t>https://www.angi.com/companylist/us/fl/pompano-beach/florida-mechanical-air-conditioning-reviews-4374645.htm</t>
        </is>
      </c>
    </row>
    <row r="221">
      <c r="A221" s="2" t="inlineStr">
        <is>
          <t>Florida Plumbing HVAC</t>
        </is>
      </c>
      <c r="B221" s="2" t="inlineStr">
        <is>
          <t>Hallandale Beach</t>
        </is>
      </c>
      <c r="C221" s="2" t="inlineStr">
        <is>
          <t>Broward</t>
        </is>
      </c>
      <c r="D221" s="2" t="inlineStr"/>
      <c r="E221" s="2" t="inlineStr">
        <is>
          <t>http://www.floridaplumbinghvac.com</t>
        </is>
      </c>
      <c r="F221" s="2" t="inlineStr"/>
      <c r="G221" s="2" t="inlineStr">
        <is>
          <t>Plumbing + HVAC in the name = multi-trade; 1-10 employees; Apollo record Feb 2020.</t>
        </is>
      </c>
      <c r="H221" s="2" t="inlineStr">
        <is>
          <t>transition-signals</t>
        </is>
      </c>
      <c r="I221" s="2" t="inlineStr">
        <is>
          <t>https://app.apollo.io/#/organizations/5e55eb9f6c942d000100256e</t>
        </is>
      </c>
    </row>
    <row r="222">
      <c r="A222" s="2" t="inlineStr">
        <is>
          <t>Floridian Air Conditioning Corp</t>
        </is>
      </c>
      <c r="B222" s="2" t="inlineStr">
        <is>
          <t>Pembroke Pines</t>
        </is>
      </c>
      <c r="C222" s="2" t="inlineStr">
        <is>
          <t>Broward</t>
        </is>
      </c>
      <c r="D222" s="2" t="inlineStr"/>
      <c r="E222" s="2" t="inlineStr"/>
      <c r="F222" s="2" t="inlineStr"/>
      <c r="G222" s="2" t="inlineStr">
        <is>
          <t>BBB A+ near Pembroke Pines. No phone/website in snippet.</t>
        </is>
      </c>
      <c r="H222" s="2" t="inlineStr">
        <is>
          <t>broward-west</t>
        </is>
      </c>
      <c r="I222" s="2" t="inlineStr">
        <is>
          <t>https://www.bbb.org/us/fl/pembroke-pines/category/air-conditioning-contractor/accredited</t>
        </is>
      </c>
    </row>
    <row r="223">
      <c r="A223" s="2" t="inlineStr">
        <is>
          <t>Frascona HVACR</t>
        </is>
      </c>
      <c r="B223" s="2" t="inlineStr"/>
      <c r="C223" s="2" t="inlineStr">
        <is>
          <t>Broward</t>
        </is>
      </c>
      <c r="D223" s="2" t="inlineStr"/>
      <c r="E223" s="2" t="inlineStr"/>
      <c r="F223" s="2" t="inlineStr">
        <is>
          <t>9 Yelp</t>
        </is>
      </c>
      <c r="G223" s="2" t="inlineStr">
        <is>
          <t>Family-surname brand, 18 yrs in business, 24/7, but only 9 Yelp reviews (4.8) = review gap; surfaces in Davie top-10.</t>
        </is>
      </c>
      <c r="H223" s="2" t="inlineStr">
        <is>
          <t>broward-west</t>
        </is>
      </c>
      <c r="I223" s="2" t="inlineStr">
        <is>
          <t>https://www.yelp.com/search?cflt=hvac&amp;find_loc=Davie%2C+FL</t>
        </is>
      </c>
    </row>
    <row r="224">
      <c r="A224" s="2" t="inlineStr">
        <is>
          <t>Fusion Air-Conditioning</t>
        </is>
      </c>
      <c r="B224" s="2" t="inlineStr">
        <is>
          <t>Pompano Beach / Deerfield Beach area</t>
        </is>
      </c>
      <c r="C224" s="2" t="inlineStr">
        <is>
          <t>Broward</t>
        </is>
      </c>
      <c r="D224" s="2" t="inlineStr"/>
      <c r="E224" s="2" t="inlineStr">
        <is>
          <t>http://www.fusionairconditioning.com</t>
        </is>
      </c>
      <c r="F224" s="2" t="inlineStr"/>
      <c r="G224" s="2" t="inlineStr">
        <is>
          <t>Apollo free lookup (keyword, 1-50 employees, HQ Pompano/Deerfield/LHP). Apollo record 2023.</t>
        </is>
      </c>
      <c r="H224" s="2" t="inlineStr">
        <is>
          <t>chambers-networks</t>
        </is>
      </c>
      <c r="I224" s="2" t="inlineStr">
        <is>
          <t>http://www.fusionairconditioning.com</t>
        </is>
      </c>
    </row>
    <row r="225">
      <c r="A225" s="2" t="inlineStr">
        <is>
          <t>Glacial Air Services</t>
        </is>
      </c>
      <c r="B225" s="2" t="inlineStr"/>
      <c r="C225" s="2" t="inlineStr">
        <is>
          <t>Broward</t>
        </is>
      </c>
      <c r="D225" s="2" t="inlineStr"/>
      <c r="E225" s="2" t="inlineStr">
        <is>
          <t>glacialairservices.com</t>
        </is>
      </c>
      <c r="F225" s="2" t="inlineStr"/>
      <c r="G225" s="2" t="inlineStr">
        <is>
          <t>Full diagnostics/compressor/refrigerant repair; Lauderhill area page. HQ/phone not in snippets.</t>
        </is>
      </c>
      <c r="H225" s="2" t="inlineStr">
        <is>
          <t>broward-west</t>
        </is>
      </c>
      <c r="I225" s="2" t="inlineStr">
        <is>
          <t>https://glacialairservices.com/areas-we-serve/lauderhill-fl/</t>
        </is>
      </c>
    </row>
    <row r="226">
      <c r="A226" s="2" t="inlineStr">
        <is>
          <t>GreenTree Air Conditioning Inc.</t>
        </is>
      </c>
      <c r="B226" s="2" t="inlineStr">
        <is>
          <t>Pompano Beach / Deerfield Beach area</t>
        </is>
      </c>
      <c r="C226" s="2" t="inlineStr">
        <is>
          <t>Broward</t>
        </is>
      </c>
      <c r="D226" s="2" t="inlineStr"/>
      <c r="E226" s="2" t="inlineStr"/>
      <c r="F226" s="2" t="inlineStr"/>
      <c r="G226" s="2" t="inlineStr">
        <is>
          <t>Apollo free lookup (keyword, 1-50 employees, HQ Pompano/Deerfield/LHP). No website/domain on file = weak online presence; verify.</t>
        </is>
      </c>
      <c r="H226" s="2" t="inlineStr">
        <is>
          <t>chambers-networks</t>
        </is>
      </c>
      <c r="I226" s="2" t="inlineStr">
        <is>
          <t>https://app.apollo.io</t>
        </is>
      </c>
    </row>
    <row r="227">
      <c r="A227" s="2" t="inlineStr">
        <is>
          <t>Hollywood AC Repair</t>
        </is>
      </c>
      <c r="B227" s="2" t="inlineStr">
        <is>
          <t>Hollywood</t>
        </is>
      </c>
      <c r="C227" s="2" t="inlineStr">
        <is>
          <t>Broward</t>
        </is>
      </c>
      <c r="D227" s="2" t="inlineStr"/>
      <c r="E227" s="2" t="inlineStr"/>
      <c r="F227" s="2" t="inlineStr">
        <is>
          <t>Yelp (24 photos)</t>
        </is>
      </c>
      <c r="G227" s="2" t="inlineStr">
        <is>
          <t>FIT (small): 5818 Rodman St, Hollywood; generic name, Yelp-only presence found.</t>
        </is>
      </c>
      <c r="H227" s="2" t="inlineStr">
        <is>
          <t>broward-east-north</t>
        </is>
      </c>
      <c r="I227" s="2" t="inlineStr">
        <is>
          <t>https://www.yelp.com/biz/hollywood-ac-repair-hollywood-3</t>
        </is>
      </c>
    </row>
    <row r="228">
      <c r="A228" s="2" t="inlineStr">
        <is>
          <t>Hvac Associates Inc</t>
        </is>
      </c>
      <c r="B228" s="2" t="inlineStr">
        <is>
          <t>Pompano Beach</t>
        </is>
      </c>
      <c r="C228" s="2" t="inlineStr">
        <is>
          <t>Broward</t>
        </is>
      </c>
      <c r="D228" s="2" t="inlineStr"/>
      <c r="E228" s="2" t="inlineStr">
        <is>
          <t>http://www.hvacfl.com</t>
        </is>
      </c>
      <c r="F228" s="2" t="inlineStr"/>
      <c r="G228" s="2" t="inlineStr">
        <is>
          <t>11-20 employees; established (Apollo record 2016).</t>
        </is>
      </c>
      <c r="H228" s="2" t="inlineStr">
        <is>
          <t>transition-signals</t>
        </is>
      </c>
      <c r="I228" s="2" t="inlineStr">
        <is>
          <t>https://app.apollo.io/#/organizations/57c4d9f0a6da986ad696b92a</t>
        </is>
      </c>
    </row>
    <row r="229">
      <c r="A229" s="2" t="inlineStr">
        <is>
          <t>HVAC CSI</t>
        </is>
      </c>
      <c r="B229" s="2" t="inlineStr">
        <is>
          <t>Plantation</t>
        </is>
      </c>
      <c r="C229" s="2" t="inlineStr">
        <is>
          <t>Broward</t>
        </is>
      </c>
      <c r="D229" s="2" t="inlineStr"/>
      <c r="E229" s="2" t="inlineStr"/>
      <c r="F229" s="2" t="inlineStr"/>
      <c r="G229" s="2" t="inlineStr">
        <is>
          <t>BBB profile under Plantation. No phone/website in snippet.</t>
        </is>
      </c>
      <c r="H229" s="2" t="inlineStr">
        <is>
          <t>broward-west</t>
        </is>
      </c>
      <c r="I229" s="2" t="inlineStr">
        <is>
          <t>https://www.bbb.org/us/fl/plantation/profile/air-conditioning-contractor/hvac-csi-0633-92064055</t>
        </is>
      </c>
    </row>
    <row r="230">
      <c r="A230" s="2" t="inlineStr">
        <is>
          <t>HYTECH 24/7</t>
        </is>
      </c>
      <c r="B230" s="2" t="inlineStr">
        <is>
          <t>Fort Lauderdale</t>
        </is>
      </c>
      <c r="C230" s="2" t="inlineStr">
        <is>
          <t>Broward</t>
        </is>
      </c>
      <c r="D230" s="2" t="inlineStr"/>
      <c r="E230" s="2" t="inlineStr">
        <is>
          <t>http://www.hytech247.com</t>
        </is>
      </c>
      <c r="F230" s="2" t="inlineStr"/>
      <c r="G230" s="2" t="inlineStr">
        <is>
          <t>Tagged HVAC + plumbing = multi-trade; 1-10 employees; Apollo record Feb 2020.</t>
        </is>
      </c>
      <c r="H230" s="2" t="inlineStr">
        <is>
          <t>transition-signals</t>
        </is>
      </c>
      <c r="I230" s="2" t="inlineStr">
        <is>
          <t>https://app.apollo.io/#/organizations/5e576ba8d5bd4a00017b03bb</t>
        </is>
      </c>
    </row>
    <row r="231">
      <c r="A231" s="2" t="inlineStr">
        <is>
          <t>Hyvac Inc</t>
        </is>
      </c>
      <c r="B231" s="2" t="inlineStr">
        <is>
          <t>Deerfield Beach</t>
        </is>
      </c>
      <c r="C231" s="2" t="inlineStr">
        <is>
          <t>Broward</t>
        </is>
      </c>
      <c r="D231" s="2" t="inlineStr"/>
      <c r="E231" s="2" t="inlineStr">
        <is>
          <t>http://www.hyvacinc.com</t>
        </is>
      </c>
      <c r="F231" s="2" t="inlineStr"/>
      <c r="G231" s="2" t="inlineStr">
        <is>
          <t>GROWTH: +10%/12 mo and +5%/6 mo headcount; 21-50 employees; tagged HVAC + refrigeration; long-established record (2014) = mature shop now adding people. Top-tier call.</t>
        </is>
      </c>
      <c r="H231" s="2" t="inlineStr">
        <is>
          <t>transition-signals</t>
        </is>
      </c>
      <c r="I231" s="2" t="inlineStr">
        <is>
          <t>https://app.apollo.io/#/organizations/54a1ba257468695475b97c0b</t>
        </is>
      </c>
    </row>
    <row r="232">
      <c r="A232" s="2" t="inlineStr">
        <is>
          <t>Icon Air and Electric</t>
        </is>
      </c>
      <c r="B232" s="2" t="inlineStr">
        <is>
          <t>Pompano Beach / Deerfield Beach area</t>
        </is>
      </c>
      <c r="C232" s="2" t="inlineStr">
        <is>
          <t>Broward</t>
        </is>
      </c>
      <c r="D232" s="2" t="inlineStr"/>
      <c r="E232" s="2" t="inlineStr">
        <is>
          <t>http://www.iconairandelectric.com</t>
        </is>
      </c>
      <c r="F232" s="2" t="inlineStr"/>
      <c r="G232" s="2" t="inlineStr">
        <is>
          <t>Apollo free lookup (keyword 'air conditioning', 1-50 employees, HQ in Pompano/Deerfield/Lighthouse Point). HVAC + electrical under one brand = added-division signal; Apollo record only created Jul 2026 (soft new/rebrand signal). Verify founding year and license on site.</t>
        </is>
      </c>
      <c r="H232" s="2" t="inlineStr">
        <is>
          <t>chambers-networks</t>
        </is>
      </c>
      <c r="I232" s="2" t="inlineStr">
        <is>
          <t>http://www.iconairandelectric.com</t>
        </is>
      </c>
    </row>
    <row r="233">
      <c r="A233" s="2" t="inlineStr">
        <is>
          <t>Jr Air Conditioning Services</t>
        </is>
      </c>
      <c r="B233" s="2" t="inlineStr">
        <is>
          <t>Fort Lauderdale</t>
        </is>
      </c>
      <c r="C233" s="2" t="inlineStr">
        <is>
          <t>Broward</t>
        </is>
      </c>
      <c r="D233" s="2" t="inlineStr"/>
      <c r="E233" s="2" t="inlineStr">
        <is>
          <t>http://www.jrcoldair.com</t>
        </is>
      </c>
      <c r="F233" s="2" t="inlineStr"/>
      <c r="G233" s="2" t="inlineStr">
        <is>
          <t>Apollo free lookup (keyword, 1-50 employees, HQ Fort Lauderdale). Placeholder logo = thin web presence.</t>
        </is>
      </c>
      <c r="H233" s="2" t="inlineStr">
        <is>
          <t>chambers-networks</t>
        </is>
      </c>
      <c r="I233" s="2" t="inlineStr">
        <is>
          <t>http://www.jrcoldair.com</t>
        </is>
      </c>
    </row>
    <row r="234">
      <c r="A234" s="2" t="inlineStr">
        <is>
          <t>Just-Air Air Conditioning &amp; Heating</t>
        </is>
      </c>
      <c r="B234" s="2" t="inlineStr">
        <is>
          <t>Davie</t>
        </is>
      </c>
      <c r="C234" s="2" t="inlineStr">
        <is>
          <t>Broward</t>
        </is>
      </c>
      <c r="D234" s="2" t="inlineStr"/>
      <c r="E234" s="2" t="inlineStr"/>
      <c r="F234" s="2" t="inlineStr"/>
      <c r="G234" s="2" t="inlineStr">
        <is>
          <t>Family owned &amp; operated, est. 1986 (serving since 1978); 40-year-old shop with Yelp page only surfaced = likely dated systems.</t>
        </is>
      </c>
      <c r="H234" s="2" t="inlineStr">
        <is>
          <t>broward-west</t>
        </is>
      </c>
      <c r="I234" s="2" t="inlineStr">
        <is>
          <t>https://www.yelp.com/biz/just-air-air-conditioning-and-heating-davie</t>
        </is>
      </c>
    </row>
    <row r="235">
      <c r="A235" s="2" t="inlineStr">
        <is>
          <t>K.O.S. Elite Services</t>
        </is>
      </c>
      <c r="B235" s="2" t="inlineStr">
        <is>
          <t>Pompano Beach</t>
        </is>
      </c>
      <c r="C235" s="2" t="inlineStr">
        <is>
          <t>Broward</t>
        </is>
      </c>
      <c r="D235" s="2" t="inlineStr"/>
      <c r="E235" s="2" t="inlineStr">
        <is>
          <t>http://www.koselite.com</t>
        </is>
      </c>
      <c r="F235" s="2" t="inlineStr"/>
      <c r="G235" s="2" t="inlineStr">
        <is>
          <t>GROWTH: +10%/12 mo; tagged HVAC + plumbing (NAICS 23822); 1-10 employees; Apollo record Aug 2022 = newer multi-trade shop.</t>
        </is>
      </c>
      <c r="H235" s="2" t="inlineStr">
        <is>
          <t>transition-signals</t>
        </is>
      </c>
      <c r="I235" s="2" t="inlineStr">
        <is>
          <t>https://app.apollo.io/#/organizations/62ffac62929af3010ae956a7</t>
        </is>
      </c>
    </row>
    <row r="236">
      <c r="A236" s="2" t="inlineStr">
        <is>
          <t>Keepcoolair</t>
        </is>
      </c>
      <c r="B236" s="2" t="inlineStr">
        <is>
          <t>Pembroke Pines / Miramar</t>
        </is>
      </c>
      <c r="C236" s="2" t="inlineStr">
        <is>
          <t>Broward</t>
        </is>
      </c>
      <c r="D236" s="2" t="inlineStr"/>
      <c r="E236" s="2" t="inlineStr">
        <is>
          <t>http://www.keepcoolair.com</t>
        </is>
      </c>
      <c r="F236" s="2" t="inlineStr"/>
      <c r="G236" s="2" t="inlineStr">
        <is>
          <t>Apollo free lookup (keyword, 1-50 employees, HQ Pembroke Pines/Miramar). Apollo record Sept 2023.</t>
        </is>
      </c>
      <c r="H236" s="2" t="inlineStr">
        <is>
          <t>chambers-networks</t>
        </is>
      </c>
      <c r="I236" s="2" t="inlineStr">
        <is>
          <t>http://www.keepcoolair.com</t>
        </is>
      </c>
    </row>
    <row r="237">
      <c r="A237" s="2" t="inlineStr">
        <is>
          <t>Kerney and Associates, LLC</t>
        </is>
      </c>
      <c r="B237" s="2" t="inlineStr">
        <is>
          <t>Fort Lauderdale</t>
        </is>
      </c>
      <c r="C237" s="2" t="inlineStr">
        <is>
          <t>Broward</t>
        </is>
      </c>
      <c r="D237" s="2" t="inlineStr"/>
      <c r="E237" s="2" t="inlineStr">
        <is>
          <t>http://www.kerneyandassociates.com</t>
        </is>
      </c>
      <c r="F237" s="2" t="inlineStr"/>
      <c r="G237" s="2" t="inlineStr">
        <is>
          <t>GROWTH: +10%/12 mo and +5%/6 mo; 21-50 employees; tagged HVAC + plumbing (NAICS 23822). Caveat: name reads like a consultancy - verify it is a mechanical contractor.</t>
        </is>
      </c>
      <c r="H237" s="2" t="inlineStr">
        <is>
          <t>transition-signals</t>
        </is>
      </c>
      <c r="I237" s="2" t="inlineStr">
        <is>
          <t>https://app.apollo.io/#/organizations/54a1a8e57468695860bea205</t>
        </is>
      </c>
    </row>
    <row r="238">
      <c r="A238" s="2" t="inlineStr">
        <is>
          <t>Khoolex Air Conditioning</t>
        </is>
      </c>
      <c r="B238" s="2" t="inlineStr">
        <is>
          <t>Hollywood</t>
        </is>
      </c>
      <c r="C238" s="2" t="inlineStr">
        <is>
          <t>Broward</t>
        </is>
      </c>
      <c r="D238" s="2" t="inlineStr"/>
      <c r="E238" s="2" t="inlineStr"/>
      <c r="F238" s="2" t="inlineStr">
        <is>
          <t>115-120 Yelp</t>
        </is>
      </c>
      <c r="G238" s="2" t="inlineStr">
        <is>
          <t>OUTSIDE WEST-BROWARD ANGLE but dominant on Weston/Plantation/Davie Yelp top-10 (5.0, ~120 reviews, family-owned, responds ~2 hrs). Hollywood-based; worth a call as a growth-stage operator.</t>
        </is>
      </c>
      <c r="H238" s="2" t="inlineStr">
        <is>
          <t>broward-west</t>
        </is>
      </c>
      <c r="I238" s="2" t="inlineStr">
        <is>
          <t>https://www.yelp.com/search?find_desc=Air+Conditioning+Repair&amp;find_loc=Weston,+FL</t>
        </is>
      </c>
    </row>
    <row r="239">
      <c r="A239" s="2" t="inlineStr">
        <is>
          <t>Kool Flow Air</t>
        </is>
      </c>
      <c r="B239" s="2" t="inlineStr"/>
      <c r="C239" s="2" t="inlineStr">
        <is>
          <t>Broward</t>
        </is>
      </c>
      <c r="D239" s="2" t="inlineStr"/>
      <c r="E239" s="2" t="inlineStr">
        <is>
          <t>koolflowair.com</t>
        </is>
      </c>
      <c r="F239" s="2" t="inlineStr"/>
      <c r="G239" s="2" t="inlineStr">
        <is>
          <t>Residential install/repair; Weston service-area page. HQ/phone not in snippets.</t>
        </is>
      </c>
      <c r="H239" s="2" t="inlineStr">
        <is>
          <t>broward-west</t>
        </is>
      </c>
      <c r="I239" s="2" t="inlineStr">
        <is>
          <t>https://koolflowair.com/service-areas/weston-fl</t>
        </is>
      </c>
    </row>
    <row r="240">
      <c r="A240" s="2" t="inlineStr">
        <is>
          <t>Lion Air Conditioning Cooling and Heating, LLC</t>
        </is>
      </c>
      <c r="B240" s="2" t="inlineStr">
        <is>
          <t>Coral Springs / Margate / Coconut Creek / Parkland area</t>
        </is>
      </c>
      <c r="C240" s="2" t="inlineStr">
        <is>
          <t>Broward</t>
        </is>
      </c>
      <c r="D240" s="2" t="inlineStr"/>
      <c r="E240" s="2" t="inlineStr">
        <is>
          <t>http://www.lionaircooling.com</t>
        </is>
      </c>
      <c r="F240" s="2" t="inlineStr"/>
      <c r="G240" s="2" t="inlineStr">
        <is>
          <t>Apollo free lookup (keyword, 1-50 employees, HQ Coral Springs cluster). LLC, Apollo record Jan 2022 (fits 2021-2025 startup window).</t>
        </is>
      </c>
      <c r="H240" s="2" t="inlineStr">
        <is>
          <t>chambers-networks</t>
        </is>
      </c>
      <c r="I240" s="2" t="inlineStr">
        <is>
          <t>http://www.lionaircooling.com</t>
        </is>
      </c>
    </row>
    <row r="241">
      <c r="A241" s="2" t="inlineStr">
        <is>
          <t>Local AC (localaccompany.com)</t>
        </is>
      </c>
      <c r="B241" s="2" t="inlineStr">
        <is>
          <t>Hallandale Beach</t>
        </is>
      </c>
      <c r="C241" s="2" t="inlineStr">
        <is>
          <t>Broward</t>
        </is>
      </c>
      <c r="D241" s="2" t="inlineStr"/>
      <c r="E241" s="2" t="inlineStr">
        <is>
          <t>https://localaccompany.com/</t>
        </is>
      </c>
      <c r="F241" s="2" t="inlineStr"/>
      <c r="G241" s="2" t="inlineStr">
        <is>
          <t>FIT: Hallandale Beach-based certified techs, 24/7 claims; generic brand name = hard to find/review.</t>
        </is>
      </c>
      <c r="H241" s="2" t="inlineStr">
        <is>
          <t>broward-east-north</t>
        </is>
      </c>
      <c r="I241" s="2" t="inlineStr">
        <is>
          <t>https://localaccompany.com/ac-repair-hallandale-beach-fl/</t>
        </is>
      </c>
    </row>
    <row r="242">
      <c r="A242" s="2" t="inlineStr">
        <is>
          <t>LS Air Conditioning</t>
        </is>
      </c>
      <c r="B242" s="2" t="inlineStr">
        <is>
          <t>Coral Springs / Margate / Coconut Creek / Parkland area</t>
        </is>
      </c>
      <c r="C242" s="2" t="inlineStr">
        <is>
          <t>Broward</t>
        </is>
      </c>
      <c r="D242" s="2" t="inlineStr"/>
      <c r="E242" s="2" t="inlineStr">
        <is>
          <t>http://www.lsairconditioninginc.com</t>
        </is>
      </c>
      <c r="F242" s="2" t="inlineStr"/>
      <c r="G242" s="2" t="inlineStr">
        <is>
          <t>Apollo free lookup (keyword, 1-50 employees, HQ Coral Springs cluster). Apollo record Jul 2025 (soft new-business signal).</t>
        </is>
      </c>
      <c r="H242" s="2" t="inlineStr">
        <is>
          <t>chambers-networks</t>
        </is>
      </c>
      <c r="I242" s="2" t="inlineStr">
        <is>
          <t>http://www.lsairconditioninginc.com</t>
        </is>
      </c>
    </row>
    <row r="243">
      <c r="A243" s="2" t="inlineStr">
        <is>
          <t>M &amp; S Air Conditioning &amp; Appliance Service, Inc.</t>
        </is>
      </c>
      <c r="B243" s="2" t="inlineStr">
        <is>
          <t>Pompano Beach / Deerfield Beach area</t>
        </is>
      </c>
      <c r="C243" s="2" t="inlineStr">
        <is>
          <t>Broward</t>
        </is>
      </c>
      <c r="D243" s="2" t="inlineStr"/>
      <c r="E243" s="2" t="inlineStr">
        <is>
          <t>http://www.ac-florida.com</t>
        </is>
      </c>
      <c r="F243" s="2" t="inlineStr"/>
      <c r="G243" s="2" t="inlineStr">
        <is>
          <t>Apollo free lookup (keyword, 1-50 employees, HQ Pompano/Deerfield/LHP). HVAC + appliance; placeholder logo = thin web presence.</t>
        </is>
      </c>
      <c r="H243" s="2" t="inlineStr">
        <is>
          <t>chambers-networks</t>
        </is>
      </c>
      <c r="I243" s="2" t="inlineStr">
        <is>
          <t>http://www.ac-florida.com</t>
        </is>
      </c>
    </row>
    <row r="244">
      <c r="A244" s="2" t="inlineStr">
        <is>
          <t>Masco Appliance and Air Conditioning</t>
        </is>
      </c>
      <c r="B244" s="2" t="inlineStr">
        <is>
          <t>Fort Lauderdale</t>
        </is>
      </c>
      <c r="C244" s="2" t="inlineStr">
        <is>
          <t>Broward</t>
        </is>
      </c>
      <c r="D244" s="2" t="inlineStr"/>
      <c r="E244" s="2" t="inlineStr">
        <is>
          <t>https://mascoappliance.com/</t>
        </is>
      </c>
      <c r="F244" s="2" t="inlineStr"/>
      <c r="G244" s="2" t="inlineStr">
        <is>
          <t>FIT (older family shop): family owned/operated since 1952, appliance + AC; site title just 'Home' = dated website.</t>
        </is>
      </c>
      <c r="H244" s="2" t="inlineStr">
        <is>
          <t>broward-east-north</t>
        </is>
      </c>
      <c r="I244" s="2" t="inlineStr">
        <is>
          <t>https://mascoappliance.com/</t>
        </is>
      </c>
    </row>
    <row r="245">
      <c r="A245" s="2" t="inlineStr">
        <is>
          <t>McConnell Air Conditioning Inc</t>
        </is>
      </c>
      <c r="B245" s="2" t="inlineStr">
        <is>
          <t>Cooper City / Pembroke Pines</t>
        </is>
      </c>
      <c r="C245" s="2" t="inlineStr">
        <is>
          <t>Broward</t>
        </is>
      </c>
      <c r="D245" s="2" t="inlineStr"/>
      <c r="E245" s="2" t="inlineStr"/>
      <c r="F245" s="2" t="inlineStr">
        <is>
          <t>Birdeye 2</t>
        </is>
      </c>
      <c r="G245" s="2" t="inlineStr">
        <is>
          <t>Family-owned since 1976; almost no online reviews; no website found; two addresses listed (Cooper City and Pembroke Pines).</t>
        </is>
      </c>
      <c r="H245" s="2" t="inlineStr">
        <is>
          <t>weak-web-presence</t>
        </is>
      </c>
      <c r="I245" s="2" t="inlineStr">
        <is>
          <t>https://www.bbb.org/us/fl/cooper-city/profile/air-conditioning-contractor/mcconnell-air-conditioning-inc-0633-90085938</t>
        </is>
      </c>
    </row>
    <row r="246">
      <c r="A246" s="2" t="inlineStr">
        <is>
          <t>Melcon Air Conditioning</t>
        </is>
      </c>
      <c r="B246" s="2" t="inlineStr"/>
      <c r="C246" s="2" t="inlineStr">
        <is>
          <t>Broward</t>
        </is>
      </c>
      <c r="D246" s="2" t="inlineStr"/>
      <c r="E246" s="2" t="inlineStr"/>
      <c r="F246" s="2" t="inlineStr">
        <is>
          <t>25 Yelp</t>
        </is>
      </c>
      <c r="G246" s="2" t="inlineStr">
        <is>
          <t>Family-owned &amp; operated; 5.0 with 25 Yelp reviews; surfaces in Plantation top-10. HQ/phone not in snippets.</t>
        </is>
      </c>
      <c r="H246" s="2" t="inlineStr">
        <is>
          <t>broward-west</t>
        </is>
      </c>
      <c r="I246" s="2" t="inlineStr">
        <is>
          <t>https://www.yelp.com/search?cflt=hvac&amp;find_loc=Plantation%2C+FL</t>
        </is>
      </c>
    </row>
    <row r="247">
      <c r="A247" s="2" t="inlineStr">
        <is>
          <t>Millenium Air Conditioning</t>
        </is>
      </c>
      <c r="B247" s="2" t="inlineStr">
        <is>
          <t>Plantation / Sunrise / Tamarac area</t>
        </is>
      </c>
      <c r="C247" s="2" t="inlineStr">
        <is>
          <t>Broward</t>
        </is>
      </c>
      <c r="D247" s="2" t="inlineStr"/>
      <c r="E247" s="2" t="inlineStr">
        <is>
          <t>http://www.milleniumairconditioning.com</t>
        </is>
      </c>
      <c r="F247" s="2" t="inlineStr"/>
      <c r="G247" s="2" t="inlineStr">
        <is>
          <t>Apollo free lookup (keyword, 1-50 employees, HQ Plantation/Sunrise cluster). Apollo record Nov 2024; generic placeholder logo in Apollo = minimal web presence.</t>
        </is>
      </c>
      <c r="H247" s="2" t="inlineStr">
        <is>
          <t>chambers-networks</t>
        </is>
      </c>
      <c r="I247" s="2" t="inlineStr">
        <is>
          <t>http://www.milleniumairconditioning.com</t>
        </is>
      </c>
    </row>
    <row r="248">
      <c r="A248" s="2" t="inlineStr">
        <is>
          <t>Monar Air Conditioning</t>
        </is>
      </c>
      <c r="B248" s="2" t="inlineStr">
        <is>
          <t>Coral Springs / Margate / Coconut Creek / Parkland area</t>
        </is>
      </c>
      <c r="C248" s="2" t="inlineStr">
        <is>
          <t>Broward</t>
        </is>
      </c>
      <c r="D248" s="2" t="inlineStr"/>
      <c r="E248" s="2" t="inlineStr"/>
      <c r="F248" s="2" t="inlineStr"/>
      <c r="G248" s="2" t="inlineStr">
        <is>
          <t>Apollo free lookup (keyword, 1-50 employees, HQ Coral Springs cluster). No website on file = weak online presence; verify.</t>
        </is>
      </c>
      <c r="H248" s="2" t="inlineStr">
        <is>
          <t>chambers-networks</t>
        </is>
      </c>
      <c r="I248" s="2" t="inlineStr">
        <is>
          <t>https://app.apollo.io</t>
        </is>
      </c>
    </row>
    <row r="249">
      <c r="A249" s="2" t="inlineStr">
        <is>
          <t>Monroe AC Service</t>
        </is>
      </c>
      <c r="B249" s="2" t="inlineStr">
        <is>
          <t>Hollywood / Dania / Hallandale area</t>
        </is>
      </c>
      <c r="C249" s="2" t="inlineStr">
        <is>
          <t>Broward</t>
        </is>
      </c>
      <c r="D249" s="2" t="inlineStr"/>
      <c r="E249" s="2" t="inlineStr">
        <is>
          <t>http://www.monroeacservice.com</t>
        </is>
      </c>
      <c r="F249" s="2" t="inlineStr"/>
      <c r="G249" s="2" t="inlineStr">
        <is>
          <t>Apollo free lookup (keyword, 1-50 employees, HQ Hollywood/Dania Beach/Hallandale Beach). Apollo record 2021.</t>
        </is>
      </c>
      <c r="H249" s="2" t="inlineStr">
        <is>
          <t>chambers-networks</t>
        </is>
      </c>
      <c r="I249" s="2" t="inlineStr">
        <is>
          <t>http://www.monroeacservice.com</t>
        </is>
      </c>
    </row>
    <row r="250">
      <c r="A250" s="2" t="inlineStr">
        <is>
          <t>Natal Air Conditioning</t>
        </is>
      </c>
      <c r="B250" s="2" t="inlineStr">
        <is>
          <t>Pompano Beach / Deerfield Beach area</t>
        </is>
      </c>
      <c r="C250" s="2" t="inlineStr">
        <is>
          <t>Broward</t>
        </is>
      </c>
      <c r="D250" s="2" t="inlineStr"/>
      <c r="E250" s="2" t="inlineStr">
        <is>
          <t>http://www.coolairflorida.com</t>
        </is>
      </c>
      <c r="F250" s="2" t="inlineStr"/>
      <c r="G250" s="2" t="inlineStr">
        <is>
          <t>Apollo free lookup (keyword, 1-50 employees, HQ Pompano/Deerfield/LHP). Two separate Apollo records with two domains (coolairflorida.com and natalsairconditioning.com) = duplicate web properties / agency footprint; good systems-cleanup hook.</t>
        </is>
      </c>
      <c r="H250" s="2" t="inlineStr">
        <is>
          <t>chambers-networks</t>
        </is>
      </c>
      <c r="I250" s="2" t="inlineStr">
        <is>
          <t>http://www.natalsairconditioning.com</t>
        </is>
      </c>
    </row>
    <row r="251">
      <c r="A251" s="2" t="inlineStr">
        <is>
          <t>North American Refrigeration</t>
        </is>
      </c>
      <c r="B251" s="2" t="inlineStr">
        <is>
          <t>Davie / Cooper City / Weston area</t>
        </is>
      </c>
      <c r="C251" s="2" t="inlineStr">
        <is>
          <t>Broward</t>
        </is>
      </c>
      <c r="D251" s="2" t="inlineStr"/>
      <c r="E251" s="2" t="inlineStr">
        <is>
          <t>http://www.narefrigeration.com</t>
        </is>
      </c>
      <c r="F251" s="2" t="inlineStr"/>
      <c r="G251" s="2" t="inlineStr">
        <is>
          <t>Apollo free lookup (NAICS 23822, 1-50 employees, HQ Davie cluster). Apollo record Jul 2024; confirm it does HVAC and not commercial refrigeration only.</t>
        </is>
      </c>
      <c r="H251" s="2" t="inlineStr">
        <is>
          <t>chambers-networks</t>
        </is>
      </c>
      <c r="I251" s="2" t="inlineStr">
        <is>
          <t>http://www.narefrigeration.com</t>
        </is>
      </c>
    </row>
    <row r="252">
      <c r="A252" s="2" t="inlineStr">
        <is>
          <t>Northrich Florida LLC</t>
        </is>
      </c>
      <c r="B252" s="2" t="inlineStr">
        <is>
          <t>Weston</t>
        </is>
      </c>
      <c r="C252" s="2" t="inlineStr">
        <is>
          <t>Broward</t>
        </is>
      </c>
      <c r="D252" s="2" t="inlineStr"/>
      <c r="E252" s="2" t="inlineStr">
        <is>
          <t>http://www.northrichflorida.com</t>
        </is>
      </c>
      <c r="F252" s="2" t="inlineStr"/>
      <c r="G252" s="2" t="inlineStr">
        <is>
          <t>11-20 employees; tagged HVAC + refrigeration.</t>
        </is>
      </c>
      <c r="H252" s="2" t="inlineStr">
        <is>
          <t>transition-signals</t>
        </is>
      </c>
      <c r="I252" s="2" t="inlineStr">
        <is>
          <t>https://app.apollo.io/#/organizations/5b85400cf874f71384939ea9</t>
        </is>
      </c>
    </row>
    <row r="253">
      <c r="A253" s="2" t="inlineStr">
        <is>
          <t>OM Services Air Conditioning</t>
        </is>
      </c>
      <c r="B253" s="2" t="inlineStr">
        <is>
          <t>Pompano Beach / Deerfield Beach area</t>
        </is>
      </c>
      <c r="C253" s="2" t="inlineStr">
        <is>
          <t>Broward</t>
        </is>
      </c>
      <c r="D253" s="2" t="inlineStr"/>
      <c r="E253" s="2" t="inlineStr">
        <is>
          <t>http://www.omservices.com</t>
        </is>
      </c>
      <c r="F253" s="2" t="inlineStr"/>
      <c r="G253" s="2" t="inlineStr">
        <is>
          <t>Apollo free lookup (keyword, 1-50 employees, HQ Pompano/Deerfield/LHP). Apollo record 2023.</t>
        </is>
      </c>
      <c r="H253" s="2" t="inlineStr">
        <is>
          <t>chambers-networks</t>
        </is>
      </c>
      <c r="I253" s="2" t="inlineStr">
        <is>
          <t>http://www.omservices.com</t>
        </is>
      </c>
    </row>
    <row r="254">
      <c r="A254" s="2" t="inlineStr">
        <is>
          <t>ONC Air - Heating &amp; Cooling</t>
        </is>
      </c>
      <c r="B254" s="2" t="inlineStr">
        <is>
          <t>Pembroke Pines / Miramar</t>
        </is>
      </c>
      <c r="C254" s="2" t="inlineStr">
        <is>
          <t>Broward</t>
        </is>
      </c>
      <c r="D254" s="2" t="inlineStr"/>
      <c r="E254" s="2" t="inlineStr">
        <is>
          <t>http://www.oncair.com</t>
        </is>
      </c>
      <c r="F254" s="2" t="inlineStr"/>
      <c r="G254" s="2" t="inlineStr">
        <is>
          <t>Apollo free lookup (keyword, 1-50 employees, HQ Pembroke Pines/Miramar). Apollo record Jan 2024.</t>
        </is>
      </c>
      <c r="H254" s="2" t="inlineStr">
        <is>
          <t>chambers-networks</t>
        </is>
      </c>
      <c r="I254" s="2" t="inlineStr">
        <is>
          <t>http://www.oncair.com</t>
        </is>
      </c>
    </row>
    <row r="255">
      <c r="A255" s="2" t="inlineStr">
        <is>
          <t>Pacman HVAC | Electric | Fire</t>
        </is>
      </c>
      <c r="B255" s="2" t="inlineStr">
        <is>
          <t>Sunrise</t>
        </is>
      </c>
      <c r="C255" s="2" t="inlineStr">
        <is>
          <t>Broward</t>
        </is>
      </c>
      <c r="D255" s="2" t="inlineStr"/>
      <c r="E255" s="2" t="inlineStr">
        <is>
          <t>http://www.pacmanhef.com</t>
        </is>
      </c>
      <c r="F255" s="2" t="inlineStr"/>
      <c r="G255" s="2" t="inlineStr">
        <is>
          <t>GROWTH: +10%/12 mo; 21-50 employees; tagged HVAC + electrical = HVAC brand running electric and fire divisions (exact 'added electrical' profile).</t>
        </is>
      </c>
      <c r="H255" s="2" t="inlineStr">
        <is>
          <t>transition-signals</t>
        </is>
      </c>
      <c r="I255" s="2" t="inlineStr">
        <is>
          <t>https://app.apollo.io/#/organizations/5da6e91d4326c100013e1b6f</t>
        </is>
      </c>
    </row>
    <row r="256">
      <c r="A256" s="2" t="inlineStr">
        <is>
          <t>Peachy Keen Air Conditioning, Plumbing and Heating</t>
        </is>
      </c>
      <c r="B256" s="2" t="inlineStr">
        <is>
          <t>Pompano Beach / Deerfield Beach area</t>
        </is>
      </c>
      <c r="C256" s="2" t="inlineStr">
        <is>
          <t>Broward</t>
        </is>
      </c>
      <c r="D256" s="2" t="inlineStr"/>
      <c r="E256" s="2" t="inlineStr">
        <is>
          <t>http://www.callpeachykeen.com</t>
        </is>
      </c>
      <c r="F256" s="2" t="inlineStr"/>
      <c r="G256" s="2" t="inlineStr">
        <is>
          <t>Apollo free lookup (NAICS 23822, 1-50 employees, HQ Pompano/Deerfield/LHP). HVAC + plumbing brand; Apollo record created Aug 2025 (soft signal: new or recently relaunched shop). Vanity 'call' domain suggests marketing-agency setup; check for tracking numbers.</t>
        </is>
      </c>
      <c r="H256" s="2" t="inlineStr">
        <is>
          <t>chambers-networks</t>
        </is>
      </c>
      <c r="I256" s="2" t="inlineStr">
        <is>
          <t>http://www.callpeachykeen.com</t>
        </is>
      </c>
    </row>
    <row r="257">
      <c r="A257" s="2" t="inlineStr">
        <is>
          <t>Penguin Air Cooling &amp; Heating</t>
        </is>
      </c>
      <c r="B257" s="2" t="inlineStr"/>
      <c r="C257" s="2" t="inlineStr">
        <is>
          <t>Broward</t>
        </is>
      </c>
      <c r="D257" s="2" t="inlineStr"/>
      <c r="E257" s="2" t="inlineStr">
        <is>
          <t>http://www.penguinacservice.com</t>
        </is>
      </c>
      <c r="F257" s="2" t="inlineStr"/>
      <c r="G257" s="2" t="inlineStr">
        <is>
          <t>Apollo record Oct 2024; HQ tagged at county level only (city not returned); 1-10 employees.</t>
        </is>
      </c>
      <c r="H257" s="2" t="inlineStr">
        <is>
          <t>transition-signals</t>
        </is>
      </c>
      <c r="I257" s="2" t="inlineStr">
        <is>
          <t>https://app.apollo.io/#/organizations/670b7f467524d000012f3665</t>
        </is>
      </c>
    </row>
    <row r="258">
      <c r="A258" s="2" t="inlineStr">
        <is>
          <t>Performance Air Mechanical, Inc.</t>
        </is>
      </c>
      <c r="B258" s="2" t="inlineStr">
        <is>
          <t>Pompano Beach / Deerfield Beach area</t>
        </is>
      </c>
      <c r="C258" s="2" t="inlineStr">
        <is>
          <t>Broward</t>
        </is>
      </c>
      <c r="D258" s="2" t="inlineStr"/>
      <c r="E258" s="2" t="inlineStr">
        <is>
          <t>http://www.performanceair.com</t>
        </is>
      </c>
      <c r="F258" s="2" t="inlineStr"/>
      <c r="G258" s="2" t="inlineStr">
        <is>
          <t>Apollo free lookup (NAICS 23822, filtered 1-50 employees, HQ Pompano/Deerfield/LHP). Commercial mechanical contractor; verify headcount is under 60 before calling.</t>
        </is>
      </c>
      <c r="H258" s="2" t="inlineStr">
        <is>
          <t>chambers-networks</t>
        </is>
      </c>
      <c r="I258" s="2" t="inlineStr">
        <is>
          <t>http://www.performanceair.com</t>
        </is>
      </c>
    </row>
    <row r="259">
      <c r="A259" s="2" t="inlineStr">
        <is>
          <t>Pineapple Mechanical Services</t>
        </is>
      </c>
      <c r="B259" s="2" t="inlineStr">
        <is>
          <t>Plantation</t>
        </is>
      </c>
      <c r="C259" s="2" t="inlineStr">
        <is>
          <t>Broward</t>
        </is>
      </c>
      <c r="D259" s="2" t="inlineStr"/>
      <c r="E259" s="2" t="inlineStr"/>
      <c r="F259" s="2" t="inlineStr">
        <is>
          <t>2 Yelp</t>
        </is>
      </c>
      <c r="G259" s="2" t="inlineStr">
        <is>
          <t>REVIEW GAP: family-owned, 20+ yrs commercial + residential, but only 2 Yelp reviews.</t>
        </is>
      </c>
      <c r="H259" s="2" t="inlineStr">
        <is>
          <t>broward-west</t>
        </is>
      </c>
      <c r="I259" s="2" t="inlineStr">
        <is>
          <t>https://www.yelp.com/search?cflt=hvac&amp;find_loc=Plantation%2C+FL</t>
        </is>
      </c>
    </row>
    <row r="260">
      <c r="A260" s="2" t="inlineStr">
        <is>
          <t>Plantation Cooling &amp; Heating, Inc.</t>
        </is>
      </c>
      <c r="B260" s="2" t="inlineStr">
        <is>
          <t>Plantation</t>
        </is>
      </c>
      <c r="C260" s="2" t="inlineStr">
        <is>
          <t>Broward</t>
        </is>
      </c>
      <c r="D260" s="2" t="inlineStr"/>
      <c r="E260" s="2" t="inlineStr"/>
      <c r="F260" s="2" t="inlineStr"/>
      <c r="G260" s="2" t="inlineStr">
        <is>
          <t>BBB profile under Plantation; city-named local shop. No phone/website in snippet.</t>
        </is>
      </c>
      <c r="H260" s="2" t="inlineStr">
        <is>
          <t>broward-west</t>
        </is>
      </c>
      <c r="I260" s="2" t="inlineStr">
        <is>
          <t>https://www.bbb.org/us/fl/plantation/profile/air-conditioning-contractor/plantation-cooling-heating-inc-0633-11002093</t>
        </is>
      </c>
    </row>
    <row r="261">
      <c r="A261" s="2" t="inlineStr">
        <is>
          <t>Plumbing &amp; Mechanical Systems of South Florida</t>
        </is>
      </c>
      <c r="B261" s="2" t="inlineStr">
        <is>
          <t>Sunrise</t>
        </is>
      </c>
      <c r="C261" s="2" t="inlineStr">
        <is>
          <t>Broward</t>
        </is>
      </c>
      <c r="D261" s="2" t="inlineStr"/>
      <c r="E261" s="2" t="inlineStr">
        <is>
          <t>http://www.pmssfl.com</t>
        </is>
      </c>
      <c r="F261" s="2" t="inlineStr"/>
      <c r="G261" s="2" t="inlineStr">
        <is>
          <t>11-20 employees; tagged plumbing + HVAC + refrigeration = multi-trade; Apollo record Aug 2020.</t>
        </is>
      </c>
      <c r="H261" s="2" t="inlineStr">
        <is>
          <t>transition-signals</t>
        </is>
      </c>
      <c r="I261" s="2" t="inlineStr">
        <is>
          <t>https://app.apollo.io/#/organizations/5f471785dec2300001e0daab</t>
        </is>
      </c>
    </row>
    <row r="262">
      <c r="A262" s="2" t="inlineStr">
        <is>
          <t>Precision Kitchen and AC Solutions</t>
        </is>
      </c>
      <c r="B262" s="2" t="inlineStr">
        <is>
          <t>Fort Lauderdale</t>
        </is>
      </c>
      <c r="C262" s="2" t="inlineStr">
        <is>
          <t>Broward</t>
        </is>
      </c>
      <c r="D262" s="2" t="inlineStr"/>
      <c r="E262" s="2" t="inlineStr">
        <is>
          <t>http://www.precisionkitchenandacsolutions.com</t>
        </is>
      </c>
      <c r="F262" s="2" t="inlineStr"/>
      <c r="G262" s="2" t="inlineStr">
        <is>
          <t>Commercial kitchen/refrigeration + AC; Apollo record Jul 2026 = new; 1-10 employees.</t>
        </is>
      </c>
      <c r="H262" s="2" t="inlineStr">
        <is>
          <t>transition-signals</t>
        </is>
      </c>
      <c r="I262" s="2" t="inlineStr">
        <is>
          <t>https://app.apollo.io/#/organizations/6a6601415460350001a4d0ba</t>
        </is>
      </c>
    </row>
    <row r="263">
      <c r="A263" s="2" t="inlineStr">
        <is>
          <t>Premier Mechanical Services</t>
        </is>
      </c>
      <c r="B263" s="2" t="inlineStr">
        <is>
          <t>Coral Springs</t>
        </is>
      </c>
      <c r="C263" s="2" t="inlineStr">
        <is>
          <t>Broward</t>
        </is>
      </c>
      <c r="D263" s="2" t="inlineStr"/>
      <c r="E263" s="2" t="inlineStr">
        <is>
          <t>http://www.servicebypremier.com</t>
        </is>
      </c>
      <c r="F263" s="2" t="inlineStr"/>
      <c r="G263" s="2" t="inlineStr">
        <is>
          <t>Apollo record Dec 2023; HVAC + refrigeration; domain does not match brand; 1-10 employees.</t>
        </is>
      </c>
      <c r="H263" s="2" t="inlineStr">
        <is>
          <t>transition-signals</t>
        </is>
      </c>
      <c r="I263" s="2" t="inlineStr">
        <is>
          <t>https://app.apollo.io/#/organizations/657848c90247e00284226fec</t>
        </is>
      </c>
    </row>
    <row r="264">
      <c r="A264" s="2" t="inlineStr">
        <is>
          <t>Prestige Cooling Solutions</t>
        </is>
      </c>
      <c r="B264" s="2" t="inlineStr">
        <is>
          <t>Pembroke Pines</t>
        </is>
      </c>
      <c r="C264" s="2" t="inlineStr">
        <is>
          <t>Broward</t>
        </is>
      </c>
      <c r="D264" s="2" t="inlineStr"/>
      <c r="E264" s="2" t="inlineStr"/>
      <c r="F264" s="2" t="inlineStr"/>
      <c r="G264" s="2" t="inlineStr">
        <is>
          <t>BBB A+ near Pembroke Pines. No phone/website in snippet.</t>
        </is>
      </c>
      <c r="H264" s="2" t="inlineStr">
        <is>
          <t>broward-west</t>
        </is>
      </c>
      <c r="I264" s="2" t="inlineStr">
        <is>
          <t>https://www.bbb.org/us/fl/pembroke-pines/category/air-conditioning-contractor/accredited</t>
        </is>
      </c>
    </row>
    <row r="265">
      <c r="A265" s="2" t="inlineStr">
        <is>
          <t>Pride Air Conditioning &amp; Appliance, Inc.</t>
        </is>
      </c>
      <c r="B265" s="2" t="inlineStr">
        <is>
          <t>Pompano Beach</t>
        </is>
      </c>
      <c r="C265" s="2" t="inlineStr">
        <is>
          <t>Broward</t>
        </is>
      </c>
      <c r="D265" s="2" t="inlineStr"/>
      <c r="E265" s="2" t="inlineStr">
        <is>
          <t>http://www.prideac.com</t>
        </is>
      </c>
      <c r="F265" s="2" t="inlineStr"/>
      <c r="G265" s="2" t="inlineStr">
        <is>
          <t>21-50 employees; tagged HVAC + plumbing; long-standing Pompano family brand (AC plus appliance repair). Upper end of size range.</t>
        </is>
      </c>
      <c r="H265" s="2" t="inlineStr">
        <is>
          <t>transition-signals</t>
        </is>
      </c>
      <c r="I265" s="2" t="inlineStr">
        <is>
          <t>https://app.apollo.io/#/organizations/54a1ca9074686942d3105911</t>
        </is>
      </c>
    </row>
    <row r="266">
      <c r="A266" s="2" t="inlineStr">
        <is>
          <t>Proficient Air Conditioning &amp; Refrigeration Inc.</t>
        </is>
      </c>
      <c r="B266" s="2" t="inlineStr">
        <is>
          <t>Plantation / Sunrise / Tamarac area</t>
        </is>
      </c>
      <c r="C266" s="2" t="inlineStr">
        <is>
          <t>Broward</t>
        </is>
      </c>
      <c r="D266" s="2" t="inlineStr"/>
      <c r="E266" s="2" t="inlineStr"/>
      <c r="F266" s="2" t="inlineStr"/>
      <c r="G266" s="2" t="inlineStr">
        <is>
          <t>Apollo free lookup (keyword, 1-50 employees, HQ Plantation/Sunrise cluster). No website/domain on file = weak online presence (possible Facebook-only). Verify by phone directory.</t>
        </is>
      </c>
      <c r="H266" s="2" t="inlineStr">
        <is>
          <t>chambers-networks</t>
        </is>
      </c>
      <c r="I266" s="2" t="inlineStr">
        <is>
          <t>https://app.apollo.io</t>
        </is>
      </c>
    </row>
    <row r="267">
      <c r="A267" s="2" t="inlineStr">
        <is>
          <t>Quality Air Conditioning Company</t>
        </is>
      </c>
      <c r="B267" s="2" t="inlineStr">
        <is>
          <t>Fort Lauderdale</t>
        </is>
      </c>
      <c r="C267" s="2" t="inlineStr">
        <is>
          <t>Broward</t>
        </is>
      </c>
      <c r="D267" s="2" t="inlineStr"/>
      <c r="E267" s="2" t="inlineStr">
        <is>
          <t>https://www.qualityac.com/</t>
        </is>
      </c>
      <c r="F267" s="2" t="inlineStr"/>
      <c r="G267" s="2" t="inlineStr">
        <is>
          <t>X - 55-year veteran-owned company with multi-city pages; likely over 60 employees.</t>
        </is>
      </c>
      <c r="H267" s="2" t="inlineStr">
        <is>
          <t>broward-east-north</t>
        </is>
      </c>
      <c r="I267" s="2" t="inlineStr">
        <is>
          <t>https://www.qualityac.com/</t>
        </is>
      </c>
    </row>
    <row r="268">
      <c r="A268" s="2" t="inlineStr">
        <is>
          <t>Quality Air of America</t>
        </is>
      </c>
      <c r="B268" s="2" t="inlineStr">
        <is>
          <t>Pembroke Pines / Miramar</t>
        </is>
      </c>
      <c r="C268" s="2" t="inlineStr">
        <is>
          <t>Broward</t>
        </is>
      </c>
      <c r="D268" s="2" t="inlineStr"/>
      <c r="E268" s="2" t="inlineStr">
        <is>
          <t>http://www.qualityairofamerica.com</t>
        </is>
      </c>
      <c r="F268" s="2" t="inlineStr"/>
      <c r="G268" s="2" t="inlineStr">
        <is>
          <t>Apollo free lookup (keyword, 1-50 employees, HQ Pembroke Pines/Miramar). Apollo record Jan 2022 (fits 2021-2025 window).</t>
        </is>
      </c>
      <c r="H268" s="2" t="inlineStr">
        <is>
          <t>chambers-networks</t>
        </is>
      </c>
      <c r="I268" s="2" t="inlineStr">
        <is>
          <t>http://www.qualityairofamerica.com</t>
        </is>
      </c>
    </row>
    <row r="269">
      <c r="A269" s="2" t="inlineStr">
        <is>
          <t>Quality First Air Conditioning</t>
        </is>
      </c>
      <c r="B269" s="2" t="inlineStr">
        <is>
          <t>Pompano Beach / Deerfield Beach area</t>
        </is>
      </c>
      <c r="C269" s="2" t="inlineStr">
        <is>
          <t>Broward</t>
        </is>
      </c>
      <c r="D269" s="2" t="inlineStr"/>
      <c r="E269" s="2" t="inlineStr">
        <is>
          <t>http://www.qualityfirstac.com</t>
        </is>
      </c>
      <c r="F269" s="2" t="inlineStr"/>
      <c r="G269" s="2" t="inlineStr">
        <is>
          <t>Apollo free lookup (keyword, 1-50 employees, HQ Pompano/Deerfield/LHP). Apollo record 2021.</t>
        </is>
      </c>
      <c r="H269" s="2" t="inlineStr">
        <is>
          <t>chambers-networks</t>
        </is>
      </c>
      <c r="I269" s="2" t="inlineStr">
        <is>
          <t>http://www.qualityfirstac.com</t>
        </is>
      </c>
    </row>
    <row r="270">
      <c r="A270" s="2" t="inlineStr">
        <is>
          <t>Quick Fix Air Repair</t>
        </is>
      </c>
      <c r="B270" s="2" t="inlineStr"/>
      <c r="C270" s="2" t="inlineStr">
        <is>
          <t>Broward</t>
        </is>
      </c>
      <c r="D270" s="2" t="inlineStr"/>
      <c r="E270" s="2" t="inlineStr">
        <is>
          <t>quickfixairrepair.com</t>
        </is>
      </c>
      <c r="F270" s="2" t="inlineStr"/>
      <c r="G270" s="2" t="inlineStr">
        <is>
          <t>Targets Pembroke Pines, Miramar, Southwest Ranches (SW Broward focus). HQ/phone not in snippets.</t>
        </is>
      </c>
      <c r="H270" s="2" t="inlineStr">
        <is>
          <t>broward-west</t>
        </is>
      </c>
      <c r="I270" s="2" t="inlineStr">
        <is>
          <t>https://quickfixairrepair.com/air-conditioning/repair-service/</t>
        </is>
      </c>
    </row>
    <row r="271">
      <c r="A271" s="2" t="inlineStr">
        <is>
          <t>Rapid Air Conditioning</t>
        </is>
      </c>
      <c r="B271" s="2" t="inlineStr">
        <is>
          <t>Plantation / Sunrise / Tamarac area</t>
        </is>
      </c>
      <c r="C271" s="2" t="inlineStr">
        <is>
          <t>Broward</t>
        </is>
      </c>
      <c r="D271" s="2" t="inlineStr"/>
      <c r="E271" s="2" t="inlineStr">
        <is>
          <t>http://www.rapidair.us</t>
        </is>
      </c>
      <c r="F271" s="2" t="inlineStr"/>
      <c r="G271" s="2" t="inlineStr">
        <is>
          <t>Apollo free lookup (keyword, 1-50 employees, HQ Plantation/Sunrise cluster). Apollo record Nov 2024 (soft new-business signal).</t>
        </is>
      </c>
      <c r="H271" s="2" t="inlineStr">
        <is>
          <t>chambers-networks</t>
        </is>
      </c>
      <c r="I271" s="2" t="inlineStr">
        <is>
          <t>http://www.rapidair.us</t>
        </is>
      </c>
    </row>
    <row r="272">
      <c r="A272" s="2" t="inlineStr">
        <is>
          <t>REEVE AIR CONDITIONING, INC.</t>
        </is>
      </c>
      <c r="B272" s="2" t="inlineStr">
        <is>
          <t>Hallandale Beach</t>
        </is>
      </c>
      <c r="C272" s="2" t="inlineStr">
        <is>
          <t>Broward</t>
        </is>
      </c>
      <c r="D272" s="2" t="inlineStr"/>
      <c r="E272" s="2" t="inlineStr">
        <is>
          <t>http://www.reeveac.com</t>
        </is>
      </c>
      <c r="F272" s="2" t="inlineStr"/>
      <c r="G272" s="2" t="inlineStr">
        <is>
          <t>Apollo record Nov 2024; 1-10 employees.</t>
        </is>
      </c>
      <c r="H272" s="2" t="inlineStr">
        <is>
          <t>transition-signals</t>
        </is>
      </c>
      <c r="I272" s="2" t="inlineStr">
        <is>
          <t>https://app.apollo.io/#/organizations/6725f208c7bf1e000118368b</t>
        </is>
      </c>
    </row>
    <row r="273">
      <c r="A273" s="2" t="inlineStr">
        <is>
          <t>Right Way Plumbing &amp; Mechanical</t>
        </is>
      </c>
      <c r="B273" s="2" t="inlineStr">
        <is>
          <t>Sunrise</t>
        </is>
      </c>
      <c r="C273" s="2" t="inlineStr">
        <is>
          <t>Broward</t>
        </is>
      </c>
      <c r="D273" s="2" t="inlineStr"/>
      <c r="E273" s="2" t="inlineStr">
        <is>
          <t>http://www.rightwayplumbing.com</t>
        </is>
      </c>
      <c r="F273" s="2" t="inlineStr"/>
      <c r="G273" s="2" t="inlineStr">
        <is>
          <t>GROWTH: +10%/12 mo; 21-50 employees; tagged plumbing + HVAC/mechanical = plumbing shop with an AC division (the added-division profile).</t>
        </is>
      </c>
      <c r="H273" s="2" t="inlineStr">
        <is>
          <t>transition-signals</t>
        </is>
      </c>
      <c r="I273" s="2" t="inlineStr">
        <is>
          <t>https://app.apollo.io/#/organizations/5da409bbe9922c0001d84436</t>
        </is>
      </c>
    </row>
    <row r="274">
      <c r="A274" s="2" t="inlineStr">
        <is>
          <t>Sawgrass Air Conditioning</t>
        </is>
      </c>
      <c r="B274" s="2" t="inlineStr">
        <is>
          <t>Fort Lauderdale</t>
        </is>
      </c>
      <c r="C274" s="2" t="inlineStr">
        <is>
          <t>Broward</t>
        </is>
      </c>
      <c r="D274" s="2" t="inlineStr"/>
      <c r="E274" s="2" t="inlineStr">
        <is>
          <t>http://www.sawgrassair.com</t>
        </is>
      </c>
      <c r="F274" s="2" t="inlineStr"/>
      <c r="G274" s="2" t="inlineStr">
        <is>
          <t>Apollo free lookup (keyword, 1-50 employees, HQ Fort Lauderdale). Placeholder logo in Apollo = minimal web presence.</t>
        </is>
      </c>
      <c r="H274" s="2" t="inlineStr">
        <is>
          <t>chambers-networks</t>
        </is>
      </c>
      <c r="I274" s="2" t="inlineStr">
        <is>
          <t>http://www.sawgrassair.com</t>
        </is>
      </c>
    </row>
    <row r="275">
      <c r="A275" s="2" t="inlineStr">
        <is>
          <t>Serenity Mechanical</t>
        </is>
      </c>
      <c r="B275" s="2" t="inlineStr">
        <is>
          <t>Pembroke Pines / Miramar</t>
        </is>
      </c>
      <c r="C275" s="2" t="inlineStr">
        <is>
          <t>Broward</t>
        </is>
      </c>
      <c r="D275" s="2" t="inlineStr"/>
      <c r="E275" s="2" t="inlineStr">
        <is>
          <t>http://www.serenitymechanical.com</t>
        </is>
      </c>
      <c r="F275" s="2" t="inlineStr"/>
      <c r="G275" s="2" t="inlineStr">
        <is>
          <t>Apollo free lookup (keyword, 1-50 employees, HQ Pembroke Pines/Miramar). Apollo record 2020.</t>
        </is>
      </c>
      <c r="H275" s="2" t="inlineStr">
        <is>
          <t>chambers-networks</t>
        </is>
      </c>
      <c r="I275" s="2" t="inlineStr">
        <is>
          <t>http://www.serenitymechanical.com</t>
        </is>
      </c>
    </row>
    <row r="276">
      <c r="A276" s="2" t="inlineStr">
        <is>
          <t>SMC Air Conditioning</t>
        </is>
      </c>
      <c r="B276" s="2" t="inlineStr">
        <is>
          <t>Sunrise</t>
        </is>
      </c>
      <c r="C276" s="2" t="inlineStr">
        <is>
          <t>Broward</t>
        </is>
      </c>
      <c r="D276" s="2" t="inlineStr"/>
      <c r="E276" s="2" t="inlineStr">
        <is>
          <t>http://www.smcairconditioning.com</t>
        </is>
      </c>
      <c r="F276" s="2" t="inlineStr"/>
      <c r="G276" s="2" t="inlineStr">
        <is>
          <t>Tagged HVAC + plumbing = multi-trade; established (Apollo record 2015); 1-10 employees.</t>
        </is>
      </c>
      <c r="H276" s="2" t="inlineStr">
        <is>
          <t>transition-signals</t>
        </is>
      </c>
      <c r="I276" s="2" t="inlineStr">
        <is>
          <t>https://app.apollo.io/#/organizations/5500b0a27369642dad2f1100</t>
        </is>
      </c>
    </row>
    <row r="277">
      <c r="A277" s="2" t="inlineStr">
        <is>
          <t>Snell Air Conditioning</t>
        </is>
      </c>
      <c r="B277" s="2" t="inlineStr">
        <is>
          <t>Coral Springs / Margate / Coconut Creek / Parkland area</t>
        </is>
      </c>
      <c r="C277" s="2" t="inlineStr">
        <is>
          <t>Broward</t>
        </is>
      </c>
      <c r="D277" s="2" t="inlineStr"/>
      <c r="E277" s="2" t="inlineStr">
        <is>
          <t>http://www.snellac.com</t>
        </is>
      </c>
      <c r="F277" s="2" t="inlineStr"/>
      <c r="G277" s="2" t="inlineStr">
        <is>
          <t>Apollo free lookup (keyword, 1-50 employees, HQ Coral Springs cluster). Family-name brand; placeholder logo = dated web presence.</t>
        </is>
      </c>
      <c r="H277" s="2" t="inlineStr">
        <is>
          <t>chambers-networks</t>
        </is>
      </c>
      <c r="I277" s="2" t="inlineStr">
        <is>
          <t>http://www.snellac.com</t>
        </is>
      </c>
    </row>
    <row r="278">
      <c r="A278" s="2" t="inlineStr">
        <is>
          <t>Sophisticated Air Cond. &amp; Refrig, Inc.</t>
        </is>
      </c>
      <c r="B278" s="2" t="inlineStr">
        <is>
          <t>Davie</t>
        </is>
      </c>
      <c r="C278" s="2" t="inlineStr">
        <is>
          <t>Broward</t>
        </is>
      </c>
      <c r="D278" s="2" t="inlineStr"/>
      <c r="E278" s="2" t="inlineStr"/>
      <c r="F278" s="2" t="inlineStr"/>
      <c r="G278" s="2" t="inlineStr">
        <is>
          <t>BBB profile under Davie; AC + refrigeration (commercial mix). No phone in snippet.</t>
        </is>
      </c>
      <c r="H278" s="2" t="inlineStr">
        <is>
          <t>broward-west</t>
        </is>
      </c>
      <c r="I278" s="2" t="inlineStr">
        <is>
          <t>https://www.bbb.org/us/fl/davie/profile/air-conditioning-contractor/sophisticated-air-cond-refrig-inc-0633-92004808</t>
        </is>
      </c>
    </row>
    <row r="279">
      <c r="A279" s="2" t="inlineStr">
        <is>
          <t>Summa Mechanical Contractors, LLC.</t>
        </is>
      </c>
      <c r="B279" s="2" t="inlineStr">
        <is>
          <t>Sunrise</t>
        </is>
      </c>
      <c r="C279" s="2" t="inlineStr">
        <is>
          <t>Broward</t>
        </is>
      </c>
      <c r="D279" s="2" t="inlineStr"/>
      <c r="E279" s="2" t="inlineStr">
        <is>
          <t>http://www.summamechanicalcontractors.com</t>
        </is>
      </c>
      <c r="F279" s="2" t="inlineStr"/>
      <c r="G279" s="2" t="inlineStr">
        <is>
          <t>1-10 employees; tagged HVAC + plumbing + refrigeration; Apollo record Aug 2021 (2021 start).</t>
        </is>
      </c>
      <c r="H279" s="2" t="inlineStr">
        <is>
          <t>transition-signals</t>
        </is>
      </c>
      <c r="I279" s="2" t="inlineStr">
        <is>
          <t>https://app.apollo.io/#/organizations/61223c46431bc900a41fd6d7</t>
        </is>
      </c>
    </row>
    <row r="280">
      <c r="A280" s="2" t="inlineStr">
        <is>
          <t>SunnySide 24/7 AC</t>
        </is>
      </c>
      <c r="B280" s="2" t="inlineStr">
        <is>
          <t>Miramar</t>
        </is>
      </c>
      <c r="C280" s="2" t="inlineStr">
        <is>
          <t>Broward</t>
        </is>
      </c>
      <c r="D280" s="2" t="inlineStr"/>
      <c r="E280" s="2" t="inlineStr">
        <is>
          <t>sunnyside247ac.com</t>
        </is>
      </c>
      <c r="F280" s="2" t="inlineStr"/>
      <c r="G280" s="2" t="inlineStr">
        <is>
          <t>Family-owned since 2005; gmail contact email; phone not shown in snippets; residential-address HQ.</t>
        </is>
      </c>
      <c r="H280" s="2" t="inlineStr">
        <is>
          <t>weak-web-presence</t>
        </is>
      </c>
      <c r="I280" s="2" t="inlineStr">
        <is>
          <t>https://sunnyside247ac.com/cities/miramar/</t>
        </is>
      </c>
    </row>
    <row r="281">
      <c r="A281" s="2" t="inlineStr">
        <is>
          <t>Sunshine Air Conditioning Solutions LLC</t>
        </is>
      </c>
      <c r="B281" s="2" t="inlineStr">
        <is>
          <t>Sunrise</t>
        </is>
      </c>
      <c r="C281" s="2" t="inlineStr">
        <is>
          <t>Broward</t>
        </is>
      </c>
      <c r="D281" s="2" t="inlineStr"/>
      <c r="E281" s="2" t="inlineStr"/>
      <c r="F281" s="2" t="inlineStr"/>
      <c r="G281" s="2" t="inlineStr">
        <is>
          <t>Family-owned &amp; operated small LLC; maintenance, service, installs, res + comm. Minimal web footprint in results.</t>
        </is>
      </c>
      <c r="H281" s="2" t="inlineStr">
        <is>
          <t>broward-west</t>
        </is>
      </c>
      <c r="I281" s="2" t="inlineStr">
        <is>
          <t>https://homeguide.com/fl/sunrise/central-air-conditioning-installation/</t>
        </is>
      </c>
    </row>
    <row r="282">
      <c r="A282" s="2" t="inlineStr">
        <is>
          <t>SUNTECH AIR CONDITIONING INC.</t>
        </is>
      </c>
      <c r="B282" s="2" t="inlineStr">
        <is>
          <t>Fort Lauderdale</t>
        </is>
      </c>
      <c r="C282" s="2" t="inlineStr">
        <is>
          <t>Broward</t>
        </is>
      </c>
      <c r="D282" s="2" t="inlineStr"/>
      <c r="E282" s="2" t="inlineStr">
        <is>
          <t>http://www.suntechairconditioning.com</t>
        </is>
      </c>
      <c r="F282" s="2" t="inlineStr"/>
      <c r="G282" s="2" t="inlineStr">
        <is>
          <t>11-20 employees; tagged HVAC + refrigeration; Apollo record Feb 2020.</t>
        </is>
      </c>
      <c r="H282" s="2" t="inlineStr">
        <is>
          <t>transition-signals</t>
        </is>
      </c>
      <c r="I282" s="2" t="inlineStr">
        <is>
          <t>https://app.apollo.io/#/organizations/5e573c7348113c000169be3a</t>
        </is>
      </c>
    </row>
    <row r="283">
      <c r="A283" s="2" t="inlineStr">
        <is>
          <t>Superior Plumbing and Air</t>
        </is>
      </c>
      <c r="B283" s="2" t="inlineStr">
        <is>
          <t>Deerfield Beach</t>
        </is>
      </c>
      <c r="C283" s="2" t="inlineStr">
        <is>
          <t>Broward</t>
        </is>
      </c>
      <c r="D283" s="2" t="inlineStr"/>
      <c r="E283" s="2" t="inlineStr">
        <is>
          <t>http://www.superiorplumbingandair.com</t>
        </is>
      </c>
      <c r="F283" s="2" t="inlineStr"/>
      <c r="G283" s="2" t="inlineStr">
        <is>
          <t>1-10 employees; plumbing + air in the name = multi-trade; Apollo record Oct 2019.</t>
        </is>
      </c>
      <c r="H283" s="2" t="inlineStr">
        <is>
          <t>transition-signals</t>
        </is>
      </c>
      <c r="I283" s="2" t="inlineStr">
        <is>
          <t>https://app.apollo.io/#/organizations/5da52c14e409180001e2c3b0</t>
        </is>
      </c>
    </row>
    <row r="284">
      <c r="A284" s="2" t="inlineStr">
        <is>
          <t>Tamarac Air &amp; Appliance</t>
        </is>
      </c>
      <c r="B284" s="2" t="inlineStr">
        <is>
          <t>Tamarac</t>
        </is>
      </c>
      <c r="C284" s="2" t="inlineStr">
        <is>
          <t>Broward</t>
        </is>
      </c>
      <c r="D284" s="2" t="inlineStr"/>
      <c r="E284" s="2" t="inlineStr"/>
      <c r="F284" s="2" t="inlineStr">
        <is>
          <t>16 Yelp</t>
        </is>
      </c>
      <c r="G284" s="2" t="inlineStr">
        <is>
          <t>Family-owned, est. 1996; 6611 NW 80th Ct, Tamarac; only 16 Yelp reviews in 30 yrs = review gap. Does AC + appliance.</t>
        </is>
      </c>
      <c r="H284" s="2" t="inlineStr">
        <is>
          <t>broward-west</t>
        </is>
      </c>
      <c r="I284" s="2" t="inlineStr">
        <is>
          <t>https://www.yelp.com/biz/tamarac-air-and-appliance-tamarac</t>
        </is>
      </c>
    </row>
    <row r="285">
      <c r="A285" s="2" t="inlineStr">
        <is>
          <t>Termodinamica USA llc</t>
        </is>
      </c>
      <c r="B285" s="2" t="inlineStr">
        <is>
          <t>Fort Lauderdale</t>
        </is>
      </c>
      <c r="C285" s="2" t="inlineStr">
        <is>
          <t>Broward</t>
        </is>
      </c>
      <c r="D285" s="2" t="inlineStr"/>
      <c r="E285" s="2" t="inlineStr">
        <is>
          <t>http://www.termodinamicausa.com</t>
        </is>
      </c>
      <c r="F285" s="2" t="inlineStr"/>
      <c r="G285" s="2" t="inlineStr">
        <is>
          <t>GROWTH: +10%/12 mo; tagged HVAC + refrigeration; Apollo record Mar 2023. Caveat: may be an HVAC equipment exporter rather than a contractor - verify.</t>
        </is>
      </c>
      <c r="H285" s="2" t="inlineStr">
        <is>
          <t>transition-signals</t>
        </is>
      </c>
      <c r="I285" s="2" t="inlineStr">
        <is>
          <t>https://app.apollo.io/#/organizations/641f4d3f2bb0dd008bb730e5</t>
        </is>
      </c>
    </row>
    <row r="286">
      <c r="A286" s="2" t="inlineStr">
        <is>
          <t>Top Notch AC Services</t>
        </is>
      </c>
      <c r="B286" s="2" t="inlineStr">
        <is>
          <t>Pompano Beach / Deerfield Beach area</t>
        </is>
      </c>
      <c r="C286" s="2" t="inlineStr">
        <is>
          <t>Broward</t>
        </is>
      </c>
      <c r="D286" s="2" t="inlineStr"/>
      <c r="E286" s="2" t="inlineStr">
        <is>
          <t>http://www.topnotch-acservices.com</t>
        </is>
      </c>
      <c r="F286" s="2" t="inlineStr"/>
      <c r="G286" s="2" t="inlineStr">
        <is>
          <t>Apollo free lookup (keyword, 1-50 employees, HQ Pompano/Deerfield/LHP). Apollo record Nov 2023.</t>
        </is>
      </c>
      <c r="H286" s="2" t="inlineStr">
        <is>
          <t>chambers-networks</t>
        </is>
      </c>
      <c r="I286" s="2" t="inlineStr">
        <is>
          <t>http://www.topnotch-acservices.com</t>
        </is>
      </c>
    </row>
    <row r="287">
      <c r="A287" s="2" t="inlineStr">
        <is>
          <t>Top-Tech Air Conditioning and Refrigeration</t>
        </is>
      </c>
      <c r="B287" s="2" t="inlineStr">
        <is>
          <t>Hollywood / Dania / Hallandale area</t>
        </is>
      </c>
      <c r="C287" s="2" t="inlineStr">
        <is>
          <t>Broward</t>
        </is>
      </c>
      <c r="D287" s="2" t="inlineStr"/>
      <c r="E287" s="2" t="inlineStr"/>
      <c r="F287" s="2" t="inlineStr"/>
      <c r="G287" s="2" t="inlineStr">
        <is>
          <t>Apollo free lookup (keyword, 1-50 employees, HQ Hollywood cluster). No website on file = weak online presence (possible Facebook-only); HVAC + refrigeration.</t>
        </is>
      </c>
      <c r="H287" s="2" t="inlineStr">
        <is>
          <t>chambers-networks</t>
        </is>
      </c>
      <c r="I287" s="2" t="inlineStr">
        <is>
          <t>https://app.apollo.io</t>
        </is>
      </c>
    </row>
    <row r="288">
      <c r="A288" s="2" t="inlineStr">
        <is>
          <t>Total Comfort Coral Springs</t>
        </is>
      </c>
      <c r="B288" s="2" t="inlineStr">
        <is>
          <t>Coral Springs</t>
        </is>
      </c>
      <c r="C288" s="2" t="inlineStr">
        <is>
          <t>Broward</t>
        </is>
      </c>
      <c r="D288" s="2" t="inlineStr"/>
      <c r="E288" s="2" t="inlineStr">
        <is>
          <t>https://totalcomfortcoralsprings.com/</t>
        </is>
      </c>
      <c r="F288" s="2" t="inlineStr"/>
      <c r="G288" s="2" t="inlineStr">
        <is>
          <t>FIT: city-named local shop; site title 'Air Conditioner Repair &amp; Furnace Repair' is a generic template = weak website.</t>
        </is>
      </c>
      <c r="H288" s="2" t="inlineStr">
        <is>
          <t>broward-east-north</t>
        </is>
      </c>
      <c r="I288" s="2" t="inlineStr">
        <is>
          <t>https://totalcomfortcoralsprings.com/</t>
        </is>
      </c>
    </row>
    <row r="289">
      <c r="A289" s="2" t="inlineStr">
        <is>
          <t>True Air Solutions</t>
        </is>
      </c>
      <c r="B289" s="2" t="inlineStr">
        <is>
          <t>Pembroke Pines</t>
        </is>
      </c>
      <c r="C289" s="2" t="inlineStr">
        <is>
          <t>Broward</t>
        </is>
      </c>
      <c r="D289" s="2" t="inlineStr"/>
      <c r="E289" s="2" t="inlineStr">
        <is>
          <t>trueairsolution.com</t>
        </is>
      </c>
      <c r="F289" s="2" t="inlineStr"/>
      <c r="G289" s="2" t="inlineStr">
        <is>
          <t>Locally owned &amp; operated, 15+ yrs; licensed/insured. Phone not in snippet.</t>
        </is>
      </c>
      <c r="H289" s="2" t="inlineStr">
        <is>
          <t>broward-west</t>
        </is>
      </c>
      <c r="I289" s="2" t="inlineStr">
        <is>
          <t>https://trueairsolution.com/</t>
        </is>
      </c>
    </row>
    <row r="290">
      <c r="A290" s="2" t="inlineStr">
        <is>
          <t>Ultimate Zoning LLC</t>
        </is>
      </c>
      <c r="B290" s="2" t="inlineStr">
        <is>
          <t>Hollywood / Dania / Hallandale area</t>
        </is>
      </c>
      <c r="C290" s="2" t="inlineStr">
        <is>
          <t>Broward</t>
        </is>
      </c>
      <c r="D290" s="2" t="inlineStr"/>
      <c r="E290" s="2" t="inlineStr">
        <is>
          <t>http://www.ultimatezoning.com</t>
        </is>
      </c>
      <c r="F290" s="2" t="inlineStr"/>
      <c r="G290" s="2" t="inlineStr">
        <is>
          <t>Apollo free lookup (keyword, 1-50 employees, HQ Hollywood cluster). HVAC zoning specialist (niche); Apollo record 2023.</t>
        </is>
      </c>
      <c r="H290" s="2" t="inlineStr">
        <is>
          <t>chambers-networks</t>
        </is>
      </c>
      <c r="I290" s="2" t="inlineStr">
        <is>
          <t>http://www.ultimatezoning.com</t>
        </is>
      </c>
    </row>
    <row r="291">
      <c r="A291" s="2" t="inlineStr">
        <is>
          <t>Ultracool Air Conditioning &amp; Heating, Inc.</t>
        </is>
      </c>
      <c r="B291" s="2" t="inlineStr">
        <is>
          <t>Plantation / Sunrise / Tamarac area</t>
        </is>
      </c>
      <c r="C291" s="2" t="inlineStr">
        <is>
          <t>Broward</t>
        </is>
      </c>
      <c r="D291" s="2" t="inlineStr"/>
      <c r="E291" s="2" t="inlineStr">
        <is>
          <t>http://www.ultracoolair.com</t>
        </is>
      </c>
      <c r="F291" s="2" t="inlineStr"/>
      <c r="G291" s="2" t="inlineStr">
        <is>
          <t>Apollo free lookup (keyword, 1-50 employees, HQ Plantation/Sunrise cluster). Apollo record Nov 2024; placeholder logo = thin online presence.</t>
        </is>
      </c>
      <c r="H291" s="2" t="inlineStr">
        <is>
          <t>chambers-networks</t>
        </is>
      </c>
      <c r="I291" s="2" t="inlineStr">
        <is>
          <t>http://www.ultracoolair.com</t>
        </is>
      </c>
    </row>
    <row r="292">
      <c r="A292" s="2" t="inlineStr">
        <is>
          <t>Under Control Air Conditioning Inc</t>
        </is>
      </c>
      <c r="B292" s="2" t="inlineStr">
        <is>
          <t>Davie / Cooper City / Weston area</t>
        </is>
      </c>
      <c r="C292" s="2" t="inlineStr">
        <is>
          <t>Broward</t>
        </is>
      </c>
      <c r="D292" s="2" t="inlineStr"/>
      <c r="E292" s="2" t="inlineStr">
        <is>
          <t>http://www.undercontrolac.com</t>
        </is>
      </c>
      <c r="F292" s="2" t="inlineStr"/>
      <c r="G292" s="2" t="inlineStr">
        <is>
          <t>Apollo free lookup (keyword, 1-50 employees, HQ Davie cluster). Apollo record Oct 2024 (soft new-business signal).</t>
        </is>
      </c>
      <c r="H292" s="2" t="inlineStr">
        <is>
          <t>chambers-networks</t>
        </is>
      </c>
      <c r="I292" s="2" t="inlineStr">
        <is>
          <t>http://www.undercontrolac.com</t>
        </is>
      </c>
    </row>
    <row r="293">
      <c r="A293" s="2" t="inlineStr">
        <is>
          <t>United A/C &amp; Refrigeration</t>
        </is>
      </c>
      <c r="B293" s="2" t="inlineStr"/>
      <c r="C293" s="2" t="inlineStr">
        <is>
          <t>Broward</t>
        </is>
      </c>
      <c r="D293" s="2" t="inlineStr"/>
      <c r="E293" s="2" t="inlineStr">
        <is>
          <t>gounitedac.com</t>
        </is>
      </c>
      <c r="F293" s="2" t="inlineStr"/>
      <c r="G293" s="2" t="inlineStr">
        <is>
          <t>30 yrs experience; Cooper City 'hvac-near-me' page; AC + refrigeration. HQ/phone not in snippets.</t>
        </is>
      </c>
      <c r="H293" s="2" t="inlineStr">
        <is>
          <t>broward-west</t>
        </is>
      </c>
      <c r="I293" s="2" t="inlineStr">
        <is>
          <t>https://www.gounitedac.com/hvac-near-me/cooper-city-fl-air-conditioning-repair/</t>
        </is>
      </c>
    </row>
    <row r="294">
      <c r="A294" s="2" t="inlineStr">
        <is>
          <t>USA Air Conditioning Services LLC</t>
        </is>
      </c>
      <c r="B294" s="2" t="inlineStr">
        <is>
          <t>Fort Lauderdale</t>
        </is>
      </c>
      <c r="C294" s="2" t="inlineStr">
        <is>
          <t>Broward</t>
        </is>
      </c>
      <c r="D294" s="2" t="inlineStr"/>
      <c r="E294" s="2" t="inlineStr">
        <is>
          <t>http://www.hvaccontractorfortlauderdalefl.com</t>
        </is>
      </c>
      <c r="F294" s="2" t="inlineStr"/>
      <c r="G294" s="2" t="inlineStr">
        <is>
          <t>Apollo free lookup (keyword, 1-50 employees, HQ Fort Lauderdale). Pure-SEO domain = agency-built site, likely tracking numbers and no license number displayed; Apollo record Sept 2024.</t>
        </is>
      </c>
      <c r="H294" s="2" t="inlineStr">
        <is>
          <t>chambers-networks</t>
        </is>
      </c>
      <c r="I294" s="2" t="inlineStr">
        <is>
          <t>http://www.hvaccontractorfortlauderdalefl.com</t>
        </is>
      </c>
    </row>
    <row r="295">
      <c r="A295" s="2" t="inlineStr">
        <is>
          <t>Van's One Hour Air Conditioning &amp; Heating</t>
        </is>
      </c>
      <c r="B295" s="2" t="inlineStr">
        <is>
          <t>Pompano Beach</t>
        </is>
      </c>
      <c r="C295" s="2" t="inlineStr">
        <is>
          <t>Broward</t>
        </is>
      </c>
      <c r="D295" s="2" t="inlineStr"/>
      <c r="E295" s="2" t="inlineStr"/>
      <c r="F295" s="2" t="inlineStr"/>
      <c r="G295" s="2" t="inlineStr">
        <is>
          <t>X - One Hour franchise.</t>
        </is>
      </c>
      <c r="H295" s="2" t="inlineStr">
        <is>
          <t>broward-east-north</t>
        </is>
      </c>
      <c r="I295" s="2" t="inlineStr">
        <is>
          <t>https://www.bbb.org/us/fl/pompano-beach/profile/air-conditioning-contractor/vans-one-hour-air-conditioning-heating-0633-10672</t>
        </is>
      </c>
    </row>
    <row r="296">
      <c r="A296" s="2" t="inlineStr">
        <is>
          <t>Weathershield Air Conditioning</t>
        </is>
      </c>
      <c r="B296" s="2" t="inlineStr">
        <is>
          <t>Hallandale Beach</t>
        </is>
      </c>
      <c r="C296" s="2" t="inlineStr">
        <is>
          <t>Broward</t>
        </is>
      </c>
      <c r="D296" s="2" t="inlineStr"/>
      <c r="E296" s="2" t="inlineStr"/>
      <c r="F296" s="2" t="inlineStr">
        <is>
          <t>17 (Angi, 5.0)</t>
        </is>
      </c>
      <c r="G296" s="2" t="inlineStr">
        <is>
          <t>FIT: licensed, serves Hallandale Beach; only 17 reviews = under-reviewed, likely no review-request system.</t>
        </is>
      </c>
      <c r="H296" s="2" t="inlineStr">
        <is>
          <t>broward-east-north</t>
        </is>
      </c>
      <c r="I296" s="2" t="inlineStr">
        <is>
          <t>https://www.angi.com/companylist/us/fl/pompano-beach/hvac.htm</t>
        </is>
      </c>
    </row>
    <row r="297">
      <c r="A297" s="2" t="inlineStr">
        <is>
          <t>A-Excellent Service, Inc.</t>
        </is>
      </c>
      <c r="B297" s="2" t="inlineStr">
        <is>
          <t>Palm Beach Gardens (9121 N Military Trl STE 103, 33410)</t>
        </is>
      </c>
      <c r="C297" s="2" t="inlineStr">
        <is>
          <t>Palm Beach</t>
        </is>
      </c>
      <c r="D297" s="2" t="inlineStr"/>
      <c r="E297" s="2" t="inlineStr"/>
      <c r="F297" s="2" t="inlineStr"/>
      <c r="G297" s="2" t="inlineStr">
        <is>
          <t>54 yrs in business, BBB accredited since 1999; legacy shop likely on old systems</t>
        </is>
      </c>
      <c r="H297" s="2" t="inlineStr">
        <is>
          <t>palm-beach-north</t>
        </is>
      </c>
      <c r="I297" s="2" t="inlineStr">
        <is>
          <t>https://www.bbb.org/us/fl/palm-beach-gardens/profile/air-conditioning-contractor/a-excellent-service-inc-0633-4005596</t>
        </is>
      </c>
    </row>
    <row r="298">
      <c r="A298" s="2" t="inlineStr">
        <is>
          <t>Above All Air Heating &amp; Cooling</t>
        </is>
      </c>
      <c r="B298" s="2" t="inlineStr"/>
      <c r="C298" s="2" t="inlineStr">
        <is>
          <t>Palm Beach</t>
        </is>
      </c>
      <c r="D298" s="2" t="inlineStr"/>
      <c r="E298" s="2" t="inlineStr">
        <is>
          <t>https://aboveallairfl.com/</t>
        </is>
      </c>
      <c r="F298" s="2" t="inlineStr"/>
      <c r="G298" s="2" t="inlineStr">
        <is>
          <t>Targets Juno Beach; HQ not confirmed</t>
        </is>
      </c>
      <c r="H298" s="2" t="inlineStr">
        <is>
          <t>palm-beach-north</t>
        </is>
      </c>
      <c r="I298" s="2" t="inlineStr">
        <is>
          <t>https://aboveallairfl.com/hvac-service-areas/juno-beach-fl/</t>
        </is>
      </c>
    </row>
    <row r="299">
      <c r="A299" s="2" t="inlineStr">
        <is>
          <t>AC &amp; Electric Energy (Air Conditioning &amp; Electric Energy)</t>
        </is>
      </c>
      <c r="B299" s="2" t="inlineStr">
        <is>
          <t>West Palm Beach</t>
        </is>
      </c>
      <c r="C299" s="2" t="inlineStr">
        <is>
          <t>Palm Beach</t>
        </is>
      </c>
      <c r="D299" s="2" t="inlineStr"/>
      <c r="E299" s="2" t="inlineStr">
        <is>
          <t>https://ac-energy.com/</t>
        </is>
      </c>
      <c r="F299" s="2" t="inlineStr"/>
      <c r="G299" s="2" t="inlineStr">
        <is>
          <t>Family-owned; runs AC + electrical division (added-division signal); Nextdoor page in WPB</t>
        </is>
      </c>
      <c r="H299" s="2" t="inlineStr">
        <is>
          <t>palm-beach-north</t>
        </is>
      </c>
      <c r="I299" s="2" t="inlineStr">
        <is>
          <t>https://nextdoor.com/pages/ac-electric-energy-west-palm-beach-fl/</t>
        </is>
      </c>
    </row>
    <row r="300">
      <c r="A300" s="2" t="inlineStr">
        <is>
          <t>AC Solutions of South Florida</t>
        </is>
      </c>
      <c r="B300" s="2" t="inlineStr">
        <is>
          <t>West Palm Beach</t>
        </is>
      </c>
      <c r="C300" s="2" t="inlineStr">
        <is>
          <t>Palm Beach</t>
        </is>
      </c>
      <c r="D300" s="2" t="inlineStr"/>
      <c r="E300" s="2" t="inlineStr">
        <is>
          <t>https://acrepairwpb.com/</t>
        </is>
      </c>
      <c r="F300" s="2" t="inlineStr"/>
      <c r="G300" s="2" t="inlineStr">
        <is>
          <t>Local family-owned/operated; keyword-domain website suggests DIY marketing and thin systems</t>
        </is>
      </c>
      <c r="H300" s="2" t="inlineStr">
        <is>
          <t>palm-beach-north</t>
        </is>
      </c>
      <c r="I300" s="2" t="inlineStr">
        <is>
          <t>https://acrepairwpb.com/ac-repair-west-palm-beach/</t>
        </is>
      </c>
    </row>
    <row r="301">
      <c r="A301" s="2" t="inlineStr">
        <is>
          <t>Action Electric &amp; Air</t>
        </is>
      </c>
      <c r="B301" s="2" t="inlineStr">
        <is>
          <t>Jupiter</t>
        </is>
      </c>
      <c r="C301" s="2" t="inlineStr">
        <is>
          <t>Palm Beach</t>
        </is>
      </c>
      <c r="D301" s="2" t="inlineStr"/>
      <c r="E301" s="2" t="inlineStr"/>
      <c r="F301" s="2" t="inlineStr"/>
      <c r="G301" s="2" t="inlineStr">
        <is>
          <t>AC + electrical combo (added-division signal); Nextdoor page</t>
        </is>
      </c>
      <c r="H301" s="2" t="inlineStr">
        <is>
          <t>palm-beach-north</t>
        </is>
      </c>
      <c r="I301" s="2" t="inlineStr">
        <is>
          <t>https://nextdoor.com/pages/action-electric-air-jupiter-fl/</t>
        </is>
      </c>
    </row>
    <row r="302">
      <c r="A302" s="2" t="inlineStr">
        <is>
          <t>Air Marshall's Air Conditioning Inc</t>
        </is>
      </c>
      <c r="B302" s="2" t="inlineStr">
        <is>
          <t>Lake Park</t>
        </is>
      </c>
      <c r="C302" s="2" t="inlineStr">
        <is>
          <t>Palm Beach</t>
        </is>
      </c>
      <c r="D302" s="2" t="inlineStr"/>
      <c r="E302" s="2" t="inlineStr">
        <is>
          <t>https://airmarshallac.com/</t>
        </is>
      </c>
      <c r="F302" s="2" t="inlineStr"/>
      <c r="G302" s="2" t="inlineStr">
        <is>
          <t>Residential + commercial contractor in Lake Park/WPB; free estimates, 24/7; small</t>
        </is>
      </c>
      <c r="H302" s="2" t="inlineStr">
        <is>
          <t>palm-beach-north</t>
        </is>
      </c>
      <c r="I302" s="2" t="inlineStr">
        <is>
          <t>https://airmarshallac.com/</t>
        </is>
      </c>
    </row>
    <row r="303">
      <c r="A303" s="2" t="inlineStr">
        <is>
          <t>Air One Air Solutions Inc.</t>
        </is>
      </c>
      <c r="B303" s="2" t="inlineStr">
        <is>
          <t>Boynton Beach</t>
        </is>
      </c>
      <c r="C303" s="2" t="inlineStr">
        <is>
          <t>Palm Beach</t>
        </is>
      </c>
      <c r="D303" s="2" t="inlineStr"/>
      <c r="E303" s="2" t="inlineStr"/>
      <c r="F303" s="2" t="inlineStr"/>
      <c r="G303" s="2" t="inlineStr">
        <is>
          <t>Address: 123 N Congress Ave Ste 307, Boynton Beach, FL 33426. State-licensed, family-owned AC/heating, established 1993. CAUTION: may be the same company as excluded 'Air One HVAC' - confirm before calling.</t>
        </is>
      </c>
      <c r="H303" s="2" t="inlineStr">
        <is>
          <t>palm-beach-south</t>
        </is>
      </c>
      <c r="I303" s="2" t="inlineStr">
        <is>
          <t>https://www.yelp.com/biz/air-one-air-solutions-boynton-beach</t>
        </is>
      </c>
    </row>
    <row r="304">
      <c r="A304" s="2" t="inlineStr">
        <is>
          <t>Air Response Mechanical Air Conditioning Inc</t>
        </is>
      </c>
      <c r="B304" s="2" t="inlineStr">
        <is>
          <t>Boynton Beach</t>
        </is>
      </c>
      <c r="C304" s="2" t="inlineStr">
        <is>
          <t>Palm Beach</t>
        </is>
      </c>
      <c r="D304" s="2" t="inlineStr"/>
      <c r="E304" s="2" t="inlineStr"/>
      <c r="F304" s="2" t="inlineStr"/>
      <c r="G304" s="2" t="inlineStr">
        <is>
          <t>BBB-listed Boynton Beach AC contractor ('Mechanical' naming suggests commercial work). No phone/website in snippet - verify.</t>
        </is>
      </c>
      <c r="H304" s="2" t="inlineStr">
        <is>
          <t>palm-beach-south</t>
        </is>
      </c>
      <c r="I304" s="2" t="inlineStr">
        <is>
          <t>https://www.bbb.org/us/fl/boynton-beach/profile/air-conditioning-contractor/air-response-mechanical-air-conditioning-inc-0633-90605816</t>
        </is>
      </c>
    </row>
    <row r="305">
      <c r="A305" s="2" t="inlineStr">
        <is>
          <t>AirGaard LLC</t>
        </is>
      </c>
      <c r="B305" s="2" t="inlineStr">
        <is>
          <t>Delray Beach</t>
        </is>
      </c>
      <c r="C305" s="2" t="inlineStr">
        <is>
          <t>Palm Beach</t>
        </is>
      </c>
      <c r="D305" s="2" t="inlineStr"/>
      <c r="E305" s="2" t="inlineStr">
        <is>
          <t>https://www.airgaardllc.com/</t>
        </is>
      </c>
      <c r="F305" s="2" t="inlineStr"/>
      <c r="G305" s="2" t="inlineStr">
        <is>
          <t>Family-owned LLC claiming 40+ years experience - pattern of a veteran tech who launched his own shop (newer entity, old-school ops). Phone not in snippet.</t>
        </is>
      </c>
      <c r="H305" s="2" t="inlineStr">
        <is>
          <t>palm-beach-south</t>
        </is>
      </c>
      <c r="I305" s="2" t="inlineStr">
        <is>
          <t>https://www.airgaardllc.com/</t>
        </is>
      </c>
    </row>
    <row r="306">
      <c r="A306" s="2" t="inlineStr">
        <is>
          <t>Airmetrix Cooling Heating &amp; Ducts, LLC</t>
        </is>
      </c>
      <c r="B306" s="2" t="inlineStr"/>
      <c r="C306" s="2" t="inlineStr">
        <is>
          <t>Palm Beach</t>
        </is>
      </c>
      <c r="D306" s="2" t="inlineStr"/>
      <c r="E306" s="2" t="inlineStr"/>
      <c r="F306" s="2" t="inlineStr">
        <is>
          <t>Angi 4.9 (63)</t>
        </is>
      </c>
      <c r="G306" s="2" t="inlineStr">
        <is>
          <t>Angi-listed PBG area; AC + duct; small LLC</t>
        </is>
      </c>
      <c r="H306" s="2" t="inlineStr">
        <is>
          <t>palm-beach-north</t>
        </is>
      </c>
      <c r="I306" s="2" t="inlineStr">
        <is>
          <t>https://www.angi.com/companylist/us/fl/palm-beach-gardens/hvac.htm</t>
        </is>
      </c>
    </row>
    <row r="307">
      <c r="A307" s="2" t="inlineStr">
        <is>
          <t>All About Air Conditioning &amp; Refrigeration, Inc.</t>
        </is>
      </c>
      <c r="B307" s="2" t="inlineStr">
        <is>
          <t>Palm Beach Gardens</t>
        </is>
      </c>
      <c r="C307" s="2" t="inlineStr">
        <is>
          <t>Palm Beach</t>
        </is>
      </c>
      <c r="D307" s="2" t="inlineStr"/>
      <c r="E307" s="2" t="inlineStr"/>
      <c r="F307" s="2" t="inlineStr"/>
      <c r="G307" s="2" t="inlineStr">
        <is>
          <t>BBB-listed PBG AC + refrigeration shop; details not fetchable</t>
        </is>
      </c>
      <c r="H307" s="2" t="inlineStr">
        <is>
          <t>palm-beach-north</t>
        </is>
      </c>
      <c r="I307" s="2" t="inlineStr">
        <is>
          <t>https://www.bbb.org/us/fl/palm-beach-gardens/profile/air-conditioning-contractor/all-about-air-conditioning-refrigeration-inc-0633-90353037</t>
        </is>
      </c>
    </row>
    <row r="308">
      <c r="A308" s="2" t="inlineStr">
        <is>
          <t>Allied Fast Service</t>
        </is>
      </c>
      <c r="B308" s="2" t="inlineStr">
        <is>
          <t>Boynton Beach</t>
        </is>
      </c>
      <c r="C308" s="2" t="inlineStr">
        <is>
          <t>Palm Beach</t>
        </is>
      </c>
      <c r="D308" s="2" t="inlineStr"/>
      <c r="E308" s="2" t="inlineStr"/>
      <c r="F308" s="2" t="inlineStr"/>
      <c r="G308" s="2" t="inlineStr">
        <is>
          <t>Founded 1946, family-owned and operated for 75+ years. Multi-generation legacy shop - high probability of paper/legacy systems and a dated web presence.</t>
        </is>
      </c>
      <c r="H308" s="2" t="inlineStr">
        <is>
          <t>palm-beach-south</t>
        </is>
      </c>
      <c r="I308" s="2" t="inlineStr">
        <is>
          <t>https://www.yelp.com/biz/allied-fast-service-boynton-beach</t>
        </is>
      </c>
    </row>
    <row r="309">
      <c r="A309" s="2" t="inlineStr">
        <is>
          <t>Astro Air, Inc.</t>
        </is>
      </c>
      <c r="B309" s="2" t="inlineStr">
        <is>
          <t>Boynton Beach</t>
        </is>
      </c>
      <c r="C309" s="2" t="inlineStr">
        <is>
          <t>Palm Beach</t>
        </is>
      </c>
      <c r="D309" s="2" t="inlineStr"/>
      <c r="E309" s="2" t="inlineStr"/>
      <c r="F309" s="2" t="inlineStr"/>
      <c r="G309" s="2" t="inlineStr">
        <is>
          <t>Address: 518 Industrial Ave STE 6, Boynton Beach, FL 33426. BBB accredited since 1988; AC + commercial refrigeration service/repair/replacement. 35+ year commercial shop - likely legacy systems.</t>
        </is>
      </c>
      <c r="H309" s="2" t="inlineStr">
        <is>
          <t>palm-beach-south</t>
        </is>
      </c>
      <c r="I309" s="2" t="inlineStr">
        <is>
          <t>https://www.bbb.org/us/fl/boynton-beach/profile/air-conditioning-contractor/astro-air-inc-0633-1902</t>
        </is>
      </c>
    </row>
    <row r="310">
      <c r="A310" s="2" t="inlineStr">
        <is>
          <t>Aurora Air, Inc.</t>
        </is>
      </c>
      <c r="B310" s="2" t="inlineStr">
        <is>
          <t>Boca Raton</t>
        </is>
      </c>
      <c r="C310" s="2" t="inlineStr">
        <is>
          <t>Palm Beach</t>
        </is>
      </c>
      <c r="D310" s="2" t="inlineStr"/>
      <c r="E310" s="2" t="inlineStr"/>
      <c r="F310" s="2" t="inlineStr"/>
      <c r="G310" s="2" t="inlineStr">
        <is>
          <t>Expertise.com top-11 Boca HVAC pick; licensed, commercial + residential repair/replacement/install, 20+ years. No website/phone surfaced in snippet - look up.</t>
        </is>
      </c>
      <c r="H310" s="2" t="inlineStr">
        <is>
          <t>palm-beach-south</t>
        </is>
      </c>
      <c r="I310" s="2" t="inlineStr">
        <is>
          <t>https://www.expertise.com/home-improvement/hvac/florida/boca-raton</t>
        </is>
      </c>
    </row>
    <row r="311">
      <c r="A311" s="2" t="inlineStr">
        <is>
          <t>Aztil Air Conditioning</t>
        </is>
      </c>
      <c r="B311" s="2" t="inlineStr">
        <is>
          <t>West Palm Beach</t>
        </is>
      </c>
      <c r="C311" s="2" t="inlineStr">
        <is>
          <t>Palm Beach</t>
        </is>
      </c>
      <c r="D311" s="2" t="inlineStr"/>
      <c r="E311" s="2" t="inlineStr">
        <is>
          <t>https://www.aztilac.com/</t>
        </is>
      </c>
      <c r="F311" s="2" t="inlineStr"/>
      <c r="G311" s="2" t="inlineStr">
        <is>
          <t>Family-owned, 45 yrs, 24/7 repair; verify size (may be upper end of 50 employees)</t>
        </is>
      </c>
      <c r="H311" s="2" t="inlineStr">
        <is>
          <t>palm-beach-north</t>
        </is>
      </c>
      <c r="I311" s="2" t="inlineStr">
        <is>
          <t>https://www.aztilac.com/</t>
        </is>
      </c>
    </row>
    <row r="312">
      <c r="A312" s="2" t="inlineStr">
        <is>
          <t>Big Air Mechanical, LLC</t>
        </is>
      </c>
      <c r="B312" s="2" t="inlineStr">
        <is>
          <t>Loxahatchee</t>
        </is>
      </c>
      <c r="C312" s="2" t="inlineStr">
        <is>
          <t>Palm Beach</t>
        </is>
      </c>
      <c r="D312" s="2" t="inlineStr"/>
      <c r="E312" s="2" t="inlineStr"/>
      <c r="F312" s="2" t="inlineStr"/>
      <c r="G312" s="2" t="inlineStr">
        <is>
          <t>Small Loxahatchee HVAC LLC (repairs, installs, IAQ); minimal web footprint</t>
        </is>
      </c>
      <c r="H312" s="2" t="inlineStr">
        <is>
          <t>palm-beach-north</t>
        </is>
      </c>
      <c r="I312" s="2" t="inlineStr">
        <is>
          <t>https://www.getmecool.com/loxahatchee-fl/</t>
        </is>
      </c>
    </row>
    <row r="313">
      <c r="A313" s="2" t="inlineStr">
        <is>
          <t>Breathe Healthier Air</t>
        </is>
      </c>
      <c r="B313" s="2" t="inlineStr">
        <is>
          <t>Juno Beach</t>
        </is>
      </c>
      <c r="C313" s="2" t="inlineStr">
        <is>
          <t>Palm Beach</t>
        </is>
      </c>
      <c r="D313" s="2" t="inlineStr"/>
      <c r="E313" s="2" t="inlineStr">
        <is>
          <t>https://breathehealthierair.com/</t>
        </is>
      </c>
      <c r="F313" s="2" t="inlineStr"/>
      <c r="G313" s="2" t="inlineStr">
        <is>
          <t>Res + commercial AC service based in Juno Beach; small</t>
        </is>
      </c>
      <c r="H313" s="2" t="inlineStr">
        <is>
          <t>palm-beach-north</t>
        </is>
      </c>
      <c r="I313" s="2" t="inlineStr">
        <is>
          <t>https://breathehealthierair.com/juno-beach-fl/</t>
        </is>
      </c>
    </row>
    <row r="314">
      <c r="A314" s="2" t="inlineStr">
        <is>
          <t>Brown Mechanical Services</t>
        </is>
      </c>
      <c r="B314" s="2" t="inlineStr">
        <is>
          <t>Jupiter</t>
        </is>
      </c>
      <c r="C314" s="2" t="inlineStr">
        <is>
          <t>Palm Beach</t>
        </is>
      </c>
      <c r="D314" s="2" t="inlineStr"/>
      <c r="E314" s="2" t="inlineStr">
        <is>
          <t>https://brownmechanicalservices.com/</t>
        </is>
      </c>
      <c r="F314" s="2" t="inlineStr"/>
      <c r="G314" s="2" t="inlineStr">
        <is>
          <t>Veteran-founded, family-owned; Nextdoor 2023 Favorite AC company for Palm Beach County; expanding service-area pages = growth stage</t>
        </is>
      </c>
      <c r="H314" s="2" t="inlineStr">
        <is>
          <t>palm-beach-north</t>
        </is>
      </c>
      <c r="I314" s="2" t="inlineStr">
        <is>
          <t>https://brownmechanicalservices.com/service-areas/north-palm-beach/</t>
        </is>
      </c>
    </row>
    <row r="315">
      <c r="A315" s="2" t="inlineStr">
        <is>
          <t>C &amp; J Air Conditioning Inc</t>
        </is>
      </c>
      <c r="B315" s="2" t="inlineStr">
        <is>
          <t>Palm Beach Gardens</t>
        </is>
      </c>
      <c r="C315" s="2" t="inlineStr">
        <is>
          <t>Palm Beach</t>
        </is>
      </c>
      <c r="D315" s="2" t="inlineStr"/>
      <c r="E315" s="2" t="inlineStr">
        <is>
          <t>https://cjairconditioninginc.com/</t>
        </is>
      </c>
      <c r="F315" s="2" t="inlineStr"/>
      <c r="G315" s="2" t="inlineStr">
        <is>
          <t>Same-day/24-7 repair, PBG-focused, active Facebook page; small shop</t>
        </is>
      </c>
      <c r="H315" s="2" t="inlineStr">
        <is>
          <t>palm-beach-north</t>
        </is>
      </c>
      <c r="I315" s="2" t="inlineStr">
        <is>
          <t>https://cjairconditioninginc.com/</t>
        </is>
      </c>
    </row>
    <row r="316">
      <c r="A316" s="2" t="inlineStr">
        <is>
          <t>Chill Zone Air Conditioning</t>
        </is>
      </c>
      <c r="B316" s="2" t="inlineStr">
        <is>
          <t>Boynton Beach</t>
        </is>
      </c>
      <c r="C316" s="2" t="inlineStr">
        <is>
          <t>Palm Beach</t>
        </is>
      </c>
      <c r="D316" s="2" t="inlineStr"/>
      <c r="E316" s="2" t="inlineStr"/>
      <c r="F316" s="2" t="inlineStr"/>
      <c r="G316" s="2" t="inlineStr">
        <is>
          <t>Family-owned &amp; operated, serves Boynton Beach area (Yelp list). Thin record - verify phone, website, size.</t>
        </is>
      </c>
      <c r="H316" s="2" t="inlineStr">
        <is>
          <t>palm-beach-south</t>
        </is>
      </c>
      <c r="I316" s="2" t="inlineStr">
        <is>
          <t>https://m.yelp.com/c/boynton-beach-fl-us/hvac</t>
        </is>
      </c>
    </row>
    <row r="317">
      <c r="A317" s="2" t="inlineStr">
        <is>
          <t>Cleary Air, LLC</t>
        </is>
      </c>
      <c r="B317" s="2" t="inlineStr"/>
      <c r="C317" s="2" t="inlineStr">
        <is>
          <t>Palm Beach</t>
        </is>
      </c>
      <c r="D317" s="2" t="inlineStr"/>
      <c r="E317" s="2" t="inlineStr"/>
      <c r="F317" s="2" t="inlineStr">
        <is>
          <t>Angi 4.6 (351)</t>
        </is>
      </c>
      <c r="G317" s="2" t="inlineStr">
        <is>
          <t>Angi-listed PBG area; 4.6 with high volume = review-response/reputation work</t>
        </is>
      </c>
      <c r="H317" s="2" t="inlineStr">
        <is>
          <t>palm-beach-north</t>
        </is>
      </c>
      <c r="I317" s="2" t="inlineStr">
        <is>
          <t>https://www.angi.com/companylist/us/fl/palm-beach-gardens/hvac.htm</t>
        </is>
      </c>
    </row>
    <row r="318">
      <c r="A318" s="2" t="inlineStr">
        <is>
          <t>Comfort Zone</t>
        </is>
      </c>
      <c r="B318" s="2" t="inlineStr">
        <is>
          <t>Riviera Beach (4188 Westroads Dr Ste 128, 33404)</t>
        </is>
      </c>
      <c r="C318" s="2" t="inlineStr">
        <is>
          <t>Palm Beach</t>
        </is>
      </c>
      <c r="D318" s="2" t="inlineStr"/>
      <c r="E318" s="2" t="inlineStr">
        <is>
          <t>https://comfortzonefl.com/</t>
        </is>
      </c>
      <c r="F318" s="2" t="inlineStr"/>
      <c r="G318" s="2" t="inlineStr">
        <is>
          <t>Licensed Riviera Beach HVAC contractor since 1976; legacy shop in the target north-county zone</t>
        </is>
      </c>
      <c r="H318" s="2" t="inlineStr">
        <is>
          <t>palm-beach-north</t>
        </is>
      </c>
      <c r="I318" s="2" t="inlineStr">
        <is>
          <t>https://comfortzonefl.com/</t>
        </is>
      </c>
    </row>
    <row r="319">
      <c r="A319" s="2" t="inlineStr">
        <is>
          <t>Complete Air Conditioning Service</t>
        </is>
      </c>
      <c r="B319" s="2" t="inlineStr">
        <is>
          <t>Jupiter</t>
        </is>
      </c>
      <c r="C319" s="2" t="inlineStr">
        <is>
          <t>Palm Beach</t>
        </is>
      </c>
      <c r="D319" s="2" t="inlineStr"/>
      <c r="E319" s="2" t="inlineStr"/>
      <c r="F319" s="2" t="inlineStr"/>
      <c r="G319" s="2" t="inlineStr">
        <is>
          <t>Jupiter shop found only via Nextdoor page</t>
        </is>
      </c>
      <c r="H319" s="2" t="inlineStr">
        <is>
          <t>palm-beach-north</t>
        </is>
      </c>
      <c r="I319" s="2" t="inlineStr">
        <is>
          <t>https://us.nextdoor.com/pages/complete-air-conditioning-service-jupiter-fl/</t>
        </is>
      </c>
    </row>
    <row r="320">
      <c r="A320" s="2" t="inlineStr">
        <is>
          <t>Complete Comfort Air Conditioning &amp; Heating</t>
        </is>
      </c>
      <c r="B320" s="2" t="inlineStr">
        <is>
          <t>Jupiter</t>
        </is>
      </c>
      <c r="C320" s="2" t="inlineStr">
        <is>
          <t>Palm Beach</t>
        </is>
      </c>
      <c r="D320" s="2" t="inlineStr"/>
      <c r="E320" s="2" t="inlineStr"/>
      <c r="F320" s="2" t="inlineStr"/>
      <c r="G320" s="2" t="inlineStr">
        <is>
          <t>Nextdoor 2022 Neighborhood Favorite; praised for same-day service; strong word-of-mouth, likely light on systems</t>
        </is>
      </c>
      <c r="H320" s="2" t="inlineStr">
        <is>
          <t>palm-beach-north</t>
        </is>
      </c>
      <c r="I320" s="2" t="inlineStr">
        <is>
          <t>https://nextdoor.com/pages/complete-comfort-air-conditioning-heating-jupiter-fl/</t>
        </is>
      </c>
    </row>
    <row r="321">
      <c r="A321" s="2" t="inlineStr">
        <is>
          <t>Cool Air Services, Inc.</t>
        </is>
      </c>
      <c r="B321" s="2" t="inlineStr">
        <is>
          <t>Boynton Beach</t>
        </is>
      </c>
      <c r="C321" s="2" t="inlineStr">
        <is>
          <t>Palm Beach</t>
        </is>
      </c>
      <c r="D321" s="2" t="inlineStr"/>
      <c r="E321" s="2" t="inlineStr">
        <is>
          <t>https://coolairservices.com/</t>
        </is>
      </c>
      <c r="F321" s="2" t="inlineStr"/>
      <c r="G321" s="2" t="inlineStr">
        <is>
          <t>Address: 2453 Quantum Blvd, Boynton Beach, FL 33426. BBB A+, accredited since 2002; sells/services AC, heat pumps, gas furnaces. Established independent; audit site for booking/maintenance plan.</t>
        </is>
      </c>
      <c r="H321" s="2" t="inlineStr">
        <is>
          <t>palm-beach-south</t>
        </is>
      </c>
      <c r="I321" s="2" t="inlineStr">
        <is>
          <t>https://www.bbb.org/us/fl/boynton-beach/profile/air-conditioning-contractor/cool-air-services-inc-0633-4001898</t>
        </is>
      </c>
    </row>
    <row r="322">
      <c r="A322" s="2" t="inlineStr">
        <is>
          <t>Eco Air Conditioning Florida</t>
        </is>
      </c>
      <c r="B322" s="2" t="inlineStr"/>
      <c r="C322" s="2" t="inlineStr">
        <is>
          <t>Palm Beach</t>
        </is>
      </c>
      <c r="D322" s="2" t="inlineStr"/>
      <c r="E322" s="2" t="inlineStr">
        <is>
          <t>https://ecoacflorida.com/</t>
        </is>
      </c>
      <c r="F322" s="2" t="inlineStr"/>
      <c r="G322" s="2" t="inlineStr">
        <is>
          <t>Local shop targeting Loxahatchee Groves; HQ not confirmed</t>
        </is>
      </c>
      <c r="H322" s="2" t="inlineStr">
        <is>
          <t>palm-beach-north</t>
        </is>
      </c>
      <c r="I322" s="2" t="inlineStr">
        <is>
          <t>https://ecoacflorida.com/ac-repair-loxahatchee-groves/</t>
        </is>
      </c>
    </row>
    <row r="323">
      <c r="A323" s="2" t="inlineStr">
        <is>
          <t>Ewing &amp; Ewing Air Conditioning</t>
        </is>
      </c>
      <c r="B323" s="2" t="inlineStr">
        <is>
          <t>West Palm Beach</t>
        </is>
      </c>
      <c r="C323" s="2" t="inlineStr">
        <is>
          <t>Palm Beach</t>
        </is>
      </c>
      <c r="D323" s="2" t="inlineStr"/>
      <c r="E323" s="2" t="inlineStr"/>
      <c r="F323" s="2" t="inlineStr">
        <is>
          <t>Yelp 4.8 (28)</t>
        </is>
      </c>
      <c r="G323" s="2" t="inlineStr">
        <is>
          <t>40 years in business, family name shop, under 60 reviews</t>
        </is>
      </c>
      <c r="H323" s="2" t="inlineStr">
        <is>
          <t>palm-beach-north</t>
        </is>
      </c>
      <c r="I323" s="2" t="inlineStr">
        <is>
          <t>https://www.yelp.com/search?cflt=hvac&amp;find_loc=West+Palm+Beach%2C+FL</t>
        </is>
      </c>
    </row>
    <row r="324">
      <c r="A324" s="2" t="inlineStr">
        <is>
          <t>First Air AC</t>
        </is>
      </c>
      <c r="B324" s="2" t="inlineStr">
        <is>
          <t>Jupiter</t>
        </is>
      </c>
      <c r="C324" s="2" t="inlineStr">
        <is>
          <t>Palm Beach</t>
        </is>
      </c>
      <c r="D324" s="2" t="inlineStr"/>
      <c r="E324" s="2" t="inlineStr"/>
      <c r="F324" s="2" t="inlineStr"/>
      <c r="G324" s="2" t="inlineStr">
        <is>
          <t>Nextdoor Neighborhood Favorite in Jupiter; Nextdoor-driven presence</t>
        </is>
      </c>
      <c r="H324" s="2" t="inlineStr">
        <is>
          <t>palm-beach-north</t>
        </is>
      </c>
      <c r="I324" s="2" t="inlineStr">
        <is>
          <t>https://nextdoor.com/pages/first-air-ac-jupiter-fl/</t>
        </is>
      </c>
    </row>
    <row r="325">
      <c r="A325" s="2" t="inlineStr">
        <is>
          <t>Florida Cooling Group</t>
        </is>
      </c>
      <c r="B325" s="2" t="inlineStr">
        <is>
          <t>Delray Beach / Boca / Boynton service area</t>
        </is>
      </c>
      <c r="C325" s="2" t="inlineStr">
        <is>
          <t>Palm Beach</t>
        </is>
      </c>
      <c r="D325" s="2" t="inlineStr"/>
      <c r="E325" s="2" t="inlineStr">
        <is>
          <t>https://floridacoolinggroup.com/</t>
        </is>
      </c>
      <c r="F325" s="2" t="inlineStr"/>
      <c r="G325" s="2" t="inlineStr">
        <is>
          <t>Local South Florida HVAC company serving Delray, Boca, Boynton, Lantana, Greenacres. 'Group' naming on a local shop sometimes signals a roll-up of small operators - ask. Phone/HQ not in snippet.</t>
        </is>
      </c>
      <c r="H325" s="2" t="inlineStr">
        <is>
          <t>palm-beach-south</t>
        </is>
      </c>
      <c r="I325" s="2" t="inlineStr">
        <is>
          <t>https://floridacoolinggroup.com/</t>
        </is>
      </c>
    </row>
    <row r="326">
      <c r="A326" s="2" t="inlineStr">
        <is>
          <t>Friendly A/C</t>
        </is>
      </c>
      <c r="B326" s="2" t="inlineStr">
        <is>
          <t>Boca Raton</t>
        </is>
      </c>
      <c r="C326" s="2" t="inlineStr">
        <is>
          <t>Palm Beach</t>
        </is>
      </c>
      <c r="D326" s="2" t="inlineStr"/>
      <c r="E326" s="2" t="inlineStr">
        <is>
          <t>https://www.friendlyac.com/</t>
        </is>
      </c>
      <c r="F326" s="2" t="inlineStr"/>
      <c r="G326" s="2" t="inlineStr">
        <is>
          <t>X - family-owned but HQ Boca Raton (Palm Beach); same for D.A. Cooling Team, Air-Ref (Delray) and Erica's Plumbing (Boca).</t>
        </is>
      </c>
      <c r="H326" s="2" t="inlineStr">
        <is>
          <t>broward-east-north</t>
        </is>
      </c>
      <c r="I326" s="2" t="inlineStr">
        <is>
          <t>https://www.friendlyac.com/pompano-beach-fl</t>
        </is>
      </c>
    </row>
    <row r="327">
      <c r="A327" s="2" t="inlineStr">
        <is>
          <t>Hi-Tech Plumbing, Air &amp; Electrical</t>
        </is>
      </c>
      <c r="B327" s="2" t="inlineStr">
        <is>
          <t>Palm Beach County (HQ not in snippet; serves Boca Raton)</t>
        </is>
      </c>
      <c r="C327" s="2" t="inlineStr">
        <is>
          <t>Palm Beach</t>
        </is>
      </c>
      <c r="D327" s="2" t="inlineStr"/>
      <c r="E327" s="2" t="inlineStr">
        <is>
          <t>https://hi-techplumbingandair.com/</t>
        </is>
      </c>
      <c r="F327" s="2" t="inlineStr"/>
      <c r="G327" s="2" t="inlineStr">
        <is>
          <t>Plumbing + AC + electrical, 25+ years. Multi-trade fit if HQ is in-county and under ~50 staff - verify.</t>
        </is>
      </c>
      <c r="H327" s="2" t="inlineStr">
        <is>
          <t>palm-beach-south</t>
        </is>
      </c>
      <c r="I327" s="2" t="inlineStr">
        <is>
          <t>https://hi-techplumbingandair.com/boca-raton/</t>
        </is>
      </c>
    </row>
    <row r="328">
      <c r="A328" s="2" t="inlineStr">
        <is>
          <t>Hopkins Air Conditioning</t>
        </is>
      </c>
      <c r="B328" s="2" t="inlineStr">
        <is>
          <t>West Palm Beach</t>
        </is>
      </c>
      <c r="C328" s="2" t="inlineStr">
        <is>
          <t>Palm Beach</t>
        </is>
      </c>
      <c r="D328" s="2" t="inlineStr"/>
      <c r="E328" s="2" t="inlineStr">
        <is>
          <t>https://hopkinsair.com/</t>
        </is>
      </c>
      <c r="F328" s="2" t="inlineStr"/>
      <c r="G328" s="2" t="inlineStr">
        <is>
          <t>Family-run 35+ yrs, residential-focused, 24/7; multiple service-area pages</t>
        </is>
      </c>
      <c r="H328" s="2" t="inlineStr">
        <is>
          <t>palm-beach-north</t>
        </is>
      </c>
      <c r="I328" s="2" t="inlineStr">
        <is>
          <t>https://hopkinsair.com/</t>
        </is>
      </c>
    </row>
    <row r="329">
      <c r="A329" s="2" t="inlineStr">
        <is>
          <t>Innovative Air Conditioning LLC</t>
        </is>
      </c>
      <c r="B329" s="2" t="inlineStr">
        <is>
          <t>Lake Worth / Greenacres area</t>
        </is>
      </c>
      <c r="C329" s="2" t="inlineStr">
        <is>
          <t>Palm Beach</t>
        </is>
      </c>
      <c r="D329" s="2" t="inlineStr"/>
      <c r="E329" s="2" t="inlineStr"/>
      <c r="F329" s="2" t="inlineStr"/>
      <c r="G329" s="2" t="inlineStr">
        <is>
          <t>Family owned &amp; operated since 2017, woman- and veteran-owned, '50 years experience'. Young company (2017) run by experienced techs - prime 'great in the field, weak in the office' profile.</t>
        </is>
      </c>
      <c r="H329" s="2" t="inlineStr">
        <is>
          <t>palm-beach-south</t>
        </is>
      </c>
      <c r="I329" s="2" t="inlineStr">
        <is>
          <t>Web search snippet (query: Greenacres Lake Worth air conditioning LLC woman owned veteran owned); appeared alongside superpages.com Greenacres and angi.com Lake Worth HVAC lists - verify URL</t>
        </is>
      </c>
    </row>
    <row r="330">
      <c r="A330" s="2" t="inlineStr">
        <is>
          <t>Jupiter Air Solutions</t>
        </is>
      </c>
      <c r="B330" s="2" t="inlineStr">
        <is>
          <t>Jupiter</t>
        </is>
      </c>
      <c r="C330" s="2" t="inlineStr">
        <is>
          <t>Palm Beach</t>
        </is>
      </c>
      <c r="D330" s="2" t="inlineStr"/>
      <c r="E330" s="2" t="inlineStr"/>
      <c r="F330" s="2" t="inlineStr"/>
      <c r="G330" s="2" t="inlineStr">
        <is>
          <t>Nextdoor Neighborhood Favorite in Jupiter</t>
        </is>
      </c>
      <c r="H330" s="2" t="inlineStr">
        <is>
          <t>palm-beach-north</t>
        </is>
      </c>
      <c r="I330" s="2" t="inlineStr">
        <is>
          <t>https://nextdoor.com/pages/first-air-ac-jupiter-fl/</t>
        </is>
      </c>
    </row>
    <row r="331">
      <c r="A331" s="2" t="inlineStr">
        <is>
          <t>M&amp;S Air Conditioning</t>
        </is>
      </c>
      <c r="B331" s="2" t="inlineStr">
        <is>
          <t>Delray Beach</t>
        </is>
      </c>
      <c r="C331" s="2" t="inlineStr">
        <is>
          <t>Palm Beach</t>
        </is>
      </c>
      <c r="D331" s="2" t="inlineStr"/>
      <c r="E331" s="2" t="inlineStr">
        <is>
          <t>https://www.ac-florida.com/</t>
        </is>
      </c>
      <c r="F331" s="2" t="inlineStr"/>
      <c r="G331" s="2" t="inlineStr">
        <is>
          <t>Family-owned and operated, 30+ years serving Delray Beach and surroundings. Generic domain (ac-florida.com); audit for license #, reviews, booking. Phone not in snippet.</t>
        </is>
      </c>
      <c r="H331" s="2" t="inlineStr">
        <is>
          <t>palm-beach-south</t>
        </is>
      </c>
      <c r="I331" s="2" t="inlineStr">
        <is>
          <t>https://www.ac-florida.com/delray-beach</t>
        </is>
      </c>
    </row>
    <row r="332">
      <c r="A332" s="2" t="inlineStr">
        <is>
          <t>Mechanical Air Conditioning</t>
        </is>
      </c>
      <c r="B332" s="2" t="inlineStr">
        <is>
          <t>West Palm Beach</t>
        </is>
      </c>
      <c r="C332" s="2" t="inlineStr">
        <is>
          <t>Palm Beach</t>
        </is>
      </c>
      <c r="D332" s="2" t="inlineStr"/>
      <c r="E332" s="2" t="inlineStr">
        <is>
          <t>https://www.mechanicalac.com/</t>
        </is>
      </c>
      <c r="F332" s="2" t="inlineStr"/>
      <c r="G332" s="2" t="inlineStr">
        <is>
          <t>Family-owned 40+ years in WPB; legacy shop</t>
        </is>
      </c>
      <c r="H332" s="2" t="inlineStr">
        <is>
          <t>palm-beach-north</t>
        </is>
      </c>
      <c r="I332" s="2" t="inlineStr">
        <is>
          <t>https://www.mechanicalac.com/about</t>
        </is>
      </c>
    </row>
    <row r="333">
      <c r="A333" s="2" t="inlineStr">
        <is>
          <t>One Hour Air Conditioning &amp; Heating of West Palm Beach</t>
        </is>
      </c>
      <c r="B333" s="2" t="inlineStr">
        <is>
          <t>West Palm Beach</t>
        </is>
      </c>
      <c r="C333" s="2" t="inlineStr">
        <is>
          <t>Palm Beach</t>
        </is>
      </c>
      <c r="D333" s="2" t="inlineStr"/>
      <c r="E333" s="2" t="inlineStr">
        <is>
          <t>https://www.onehourheatandair.com/</t>
        </is>
      </c>
      <c r="F333" s="2" t="inlineStr"/>
      <c r="G333" s="2" t="inlineStr">
        <is>
          <t>X: franchise</t>
        </is>
      </c>
      <c r="H333" s="2" t="inlineStr">
        <is>
          <t>palm-beach-north</t>
        </is>
      </c>
      <c r="I333" s="2" t="inlineStr">
        <is>
          <t>https://www.onehourheatandair.com/areas-we-service/loxahatchee-fl/</t>
        </is>
      </c>
    </row>
    <row r="334">
      <c r="A334" s="2" t="inlineStr">
        <is>
          <t>Palm Beach Gardens AC Expert</t>
        </is>
      </c>
      <c r="B334" s="2" t="inlineStr">
        <is>
          <t>Palm Beach Gardens</t>
        </is>
      </c>
      <c r="C334" s="2" t="inlineStr">
        <is>
          <t>Palm Beach</t>
        </is>
      </c>
      <c r="D334" s="2" t="inlineStr"/>
      <c r="E334" s="2" t="inlineStr">
        <is>
          <t>https://palmbeachgardensacexpert.com/</t>
        </is>
      </c>
      <c r="F334" s="2" t="inlineStr"/>
      <c r="G334" s="2" t="inlineStr">
        <is>
          <t>Keyword-domain site = DIY marketing; verify real company name/license</t>
        </is>
      </c>
      <c r="H334" s="2" t="inlineStr">
        <is>
          <t>palm-beach-north</t>
        </is>
      </c>
      <c r="I334" s="2" t="inlineStr">
        <is>
          <t>https://palmbeachgardensacexpert.com/</t>
        </is>
      </c>
    </row>
    <row r="335">
      <c r="A335" s="2" t="inlineStr">
        <is>
          <t>Palm Springs Heating &amp; Air Conditioning</t>
        </is>
      </c>
      <c r="B335" s="2" t="inlineStr">
        <is>
          <t>Palm Springs (3041 Emerson Ave, 33461)</t>
        </is>
      </c>
      <c r="C335" s="2" t="inlineStr">
        <is>
          <t>Palm Beach</t>
        </is>
      </c>
      <c r="D335" s="2" t="inlineStr"/>
      <c r="E335" s="2" t="inlineStr"/>
      <c r="F335" s="2" t="inlineStr"/>
      <c r="G335" s="2" t="inlineStr">
        <is>
          <t>Small local shop; residential-street address; found only via contractor directory</t>
        </is>
      </c>
      <c r="H335" s="2" t="inlineStr">
        <is>
          <t>palm-beach-north</t>
        </is>
      </c>
      <c r="I335" s="2" t="inlineStr">
        <is>
          <t>https://www.southfloridacontractors.com/contractors/palm-springs-heating-air-conditioning/</t>
        </is>
      </c>
    </row>
    <row r="336">
      <c r="A336" s="2" t="inlineStr">
        <is>
          <t>Petra A/C Services</t>
        </is>
      </c>
      <c r="B336" s="2" t="inlineStr">
        <is>
          <t>West Palm Beach</t>
        </is>
      </c>
      <c r="C336" s="2" t="inlineStr">
        <is>
          <t>Palm Beach</t>
        </is>
      </c>
      <c r="D336" s="2" t="inlineStr"/>
      <c r="E336" s="2" t="inlineStr"/>
      <c r="F336" s="2" t="inlineStr">
        <is>
          <t>Yelp 5.0 (7)</t>
        </is>
      </c>
      <c r="G336" s="2" t="inlineStr">
        <is>
          <t>Only 7 Yelp reviews; clear review-generation and marketing gap</t>
        </is>
      </c>
      <c r="H336" s="2" t="inlineStr">
        <is>
          <t>palm-beach-north</t>
        </is>
      </c>
      <c r="I336" s="2" t="inlineStr">
        <is>
          <t>https://www.yelp.com/search?cflt=hvac&amp;find_loc=West+Palm+Beach%2C+FL</t>
        </is>
      </c>
    </row>
    <row r="337">
      <c r="A337" s="2" t="inlineStr">
        <is>
          <t>Phixser Solutions Inc</t>
        </is>
      </c>
      <c r="B337" s="2" t="inlineStr"/>
      <c r="C337" s="2" t="inlineStr">
        <is>
          <t>Palm Beach</t>
        </is>
      </c>
      <c r="D337" s="2" t="inlineStr"/>
      <c r="E337" s="2" t="inlineStr">
        <is>
          <t>https://phixser.com/</t>
        </is>
      </c>
      <c r="F337" s="2" t="inlineStr"/>
      <c r="G337" s="2" t="inlineStr">
        <is>
          <t>AC repair/install/duct/IAQ in Loxahatchee Groves and PBC; newer brand</t>
        </is>
      </c>
      <c r="H337" s="2" t="inlineStr">
        <is>
          <t>palm-beach-north</t>
        </is>
      </c>
      <c r="I337" s="2" t="inlineStr">
        <is>
          <t>https://phixser.com/loxahatchee-groves-air-conditioning-contractor/</t>
        </is>
      </c>
    </row>
    <row r="338">
      <c r="A338" s="2" t="inlineStr">
        <is>
          <t>Prestige Air Conditioning Systems</t>
        </is>
      </c>
      <c r="B338" s="2" t="inlineStr">
        <is>
          <t>West Palm Beach</t>
        </is>
      </c>
      <c r="C338" s="2" t="inlineStr">
        <is>
          <t>Palm Beach</t>
        </is>
      </c>
      <c r="D338" s="2" t="inlineStr"/>
      <c r="E338" s="2" t="inlineStr"/>
      <c r="F338" s="2" t="inlineStr">
        <is>
          <t>Yelp 4.1 (73)</t>
        </is>
      </c>
      <c r="G338" s="2" t="inlineStr">
        <is>
          <t>30 yrs in business but 4.1 rating; reputation/review-response need</t>
        </is>
      </c>
      <c r="H338" s="2" t="inlineStr">
        <is>
          <t>palm-beach-north</t>
        </is>
      </c>
      <c r="I338" s="2" t="inlineStr">
        <is>
          <t>https://www.yelp.com/search?cflt=hvac&amp;find_loc=West+Palm+Beach%2C+FL</t>
        </is>
      </c>
    </row>
    <row r="339">
      <c r="A339" s="2" t="inlineStr">
        <is>
          <t>Richard's A/C &amp; Appliance Repair</t>
        </is>
      </c>
      <c r="B339" s="2" t="inlineStr">
        <is>
          <t>Lake Worth</t>
        </is>
      </c>
      <c r="C339" s="2" t="inlineStr">
        <is>
          <t>Palm Beach</t>
        </is>
      </c>
      <c r="D339" s="2" t="inlineStr"/>
      <c r="E339" s="2" t="inlineStr">
        <is>
          <t>https://richardsacrepair.com/</t>
        </is>
      </c>
      <c r="F339" s="2" t="inlineStr"/>
      <c r="G339" s="2" t="inlineStr">
        <is>
          <t>BORDERLINE: family-oriented small business, 'extensive reviews on Google and Nextdoor', but AC + appliance hybrid (appliance-only is excluded). Nextdoor presence = neighborhood-referral shop.</t>
        </is>
      </c>
      <c r="H339" s="2" t="inlineStr">
        <is>
          <t>palm-beach-south</t>
        </is>
      </c>
      <c r="I339" s="2" t="inlineStr">
        <is>
          <t>https://richardsacrepair.com/</t>
        </is>
      </c>
    </row>
    <row r="340">
      <c r="A340" s="2" t="inlineStr">
        <is>
          <t>Sansone Air Conditioning</t>
        </is>
      </c>
      <c r="B340" s="2" t="inlineStr">
        <is>
          <t>West Palm Beach</t>
        </is>
      </c>
      <c r="C340" s="2" t="inlineStr">
        <is>
          <t>Palm Beach</t>
        </is>
      </c>
      <c r="D340" s="2" t="inlineStr"/>
      <c r="E340" s="2" t="inlineStr">
        <is>
          <t>https://sansone-ac.com/</t>
        </is>
      </c>
      <c r="F340" s="2" t="inlineStr"/>
      <c r="G340" s="2" t="inlineStr">
        <is>
          <t>X: family-owned since 1976 but well over 60 employees</t>
        </is>
      </c>
      <c r="H340" s="2" t="inlineStr">
        <is>
          <t>palm-beach-north</t>
        </is>
      </c>
      <c r="I340" s="2" t="inlineStr">
        <is>
          <t>https://sansone-ac.com/palm-beach-county/palm-beach-gardens/</t>
        </is>
      </c>
    </row>
    <row r="341">
      <c r="A341" s="2" t="inlineStr">
        <is>
          <t>Seaside Air Services</t>
        </is>
      </c>
      <c r="B341" s="2" t="inlineStr"/>
      <c r="C341" s="2" t="inlineStr">
        <is>
          <t>Palm Beach</t>
        </is>
      </c>
      <c r="D341" s="2" t="inlineStr"/>
      <c r="E341" s="2" t="inlineStr">
        <is>
          <t>https://www.seasidehvacr.com/</t>
        </is>
      </c>
      <c r="F341" s="2" t="inlineStr"/>
      <c r="G341" s="2" t="inlineStr">
        <is>
          <t>Family-owned; serves PBG and WPB; HQ not confirmed</t>
        </is>
      </c>
      <c r="H341" s="2" t="inlineStr">
        <is>
          <t>palm-beach-north</t>
        </is>
      </c>
      <c r="I341" s="2" t="inlineStr">
        <is>
          <t>https://www.seasidehvacr.com/service-areas/palm-beach-gardens-air-conditioning-hvac</t>
        </is>
      </c>
    </row>
    <row r="342">
      <c r="A342" s="2" t="inlineStr">
        <is>
          <t>Simple Action</t>
        </is>
      </c>
      <c r="B342" s="2" t="inlineStr">
        <is>
          <t>Palm Beach Gardens</t>
        </is>
      </c>
      <c r="C342" s="2" t="inlineStr">
        <is>
          <t>Palm Beach</t>
        </is>
      </c>
      <c r="D342" s="2" t="inlineStr"/>
      <c r="E342" s="2" t="inlineStr"/>
      <c r="F342" s="2" t="inlineStr">
        <is>
          <t>Yelp 5.0</t>
        </is>
      </c>
      <c r="G342" s="2" t="inlineStr">
        <is>
          <t>Family-owned and operated, small/new, serving PBG; minimal review base</t>
        </is>
      </c>
      <c r="H342" s="2" t="inlineStr">
        <is>
          <t>palm-beach-north</t>
        </is>
      </c>
      <c r="I342" s="2" t="inlineStr">
        <is>
          <t>https://www.yelp.com/search?cflt=hvac&amp;find_loc=West+Palm+Beach%2C+FL+33408</t>
        </is>
      </c>
    </row>
    <row r="343">
      <c r="A343" s="2" t="inlineStr">
        <is>
          <t>South Florida Air Solutions</t>
        </is>
      </c>
      <c r="B343" s="2" t="inlineStr">
        <is>
          <t>Jupiter</t>
        </is>
      </c>
      <c r="C343" s="2" t="inlineStr">
        <is>
          <t>Palm Beach</t>
        </is>
      </c>
      <c r="D343" s="2" t="inlineStr"/>
      <c r="E343" s="2" t="inlineStr"/>
      <c r="F343" s="2" t="inlineStr">
        <is>
          <t>Nextdoor 33 faves</t>
        </is>
      </c>
      <c r="G343" s="2" t="inlineStr">
        <is>
          <t>25+ yrs serving Palm Beach/Martin, NATE techs, 24/7; established mid-size shop</t>
        </is>
      </c>
      <c r="H343" s="2" t="inlineStr">
        <is>
          <t>palm-beach-north</t>
        </is>
      </c>
      <c r="I343" s="2" t="inlineStr">
        <is>
          <t>https://nextdoor.com/pages/south-florida-air-solutions-jupiter-fl/photos/</t>
        </is>
      </c>
    </row>
    <row r="344">
      <c r="A344" s="2" t="inlineStr">
        <is>
          <t>Southern Comfort Air Systems, Inc.</t>
        </is>
      </c>
      <c r="B344" s="2" t="inlineStr">
        <is>
          <t>Jupiter</t>
        </is>
      </c>
      <c r="C344" s="2" t="inlineStr">
        <is>
          <t>Palm Beach</t>
        </is>
      </c>
      <c r="D344" s="2" t="inlineStr"/>
      <c r="E344" s="2" t="inlineStr"/>
      <c r="F344" s="2" t="inlineStr"/>
      <c r="G344" s="2" t="inlineStr">
        <is>
          <t>Jupiter shop found via Nextdoor; verify web presence</t>
        </is>
      </c>
      <c r="H344" s="2" t="inlineStr">
        <is>
          <t>palm-beach-north</t>
        </is>
      </c>
      <c r="I344" s="2" t="inlineStr">
        <is>
          <t>https://nextdoor.com/pages/southern-comfort-air-systems-inc-jupiter-fl-1/</t>
        </is>
      </c>
    </row>
    <row r="345">
      <c r="A345" s="2" t="inlineStr">
        <is>
          <t>Spectrum A/C</t>
        </is>
      </c>
      <c r="B345" s="2" t="inlineStr"/>
      <c r="C345" s="2" t="inlineStr">
        <is>
          <t>Palm Beach</t>
        </is>
      </c>
      <c r="D345" s="2" t="inlineStr"/>
      <c r="E345" s="2" t="inlineStr"/>
      <c r="F345" s="2" t="inlineStr"/>
      <c r="G345" s="2" t="inlineStr">
        <is>
          <t>Chamber of Commerce of the Palm Beaches member; details not fetchable</t>
        </is>
      </c>
      <c r="H345" s="2" t="inlineStr">
        <is>
          <t>palm-beach-north</t>
        </is>
      </c>
      <c r="I345" s="2" t="inlineStr">
        <is>
          <t>https://business.palmbeaches.org/business-directory/Details/spectrum-a-c-4721067</t>
        </is>
      </c>
    </row>
    <row r="346">
      <c r="A346" s="2" t="inlineStr">
        <is>
          <t>Straight AC Services</t>
        </is>
      </c>
      <c r="B346" s="2" t="inlineStr">
        <is>
          <t>West Palm Beach</t>
        </is>
      </c>
      <c r="C346" s="2" t="inlineStr">
        <is>
          <t>Palm Beach</t>
        </is>
      </c>
      <c r="D346" s="2" t="inlineStr"/>
      <c r="E346" s="2" t="inlineStr">
        <is>
          <t>https://straightac.com/</t>
        </is>
      </c>
      <c r="F346" s="2" t="inlineStr"/>
      <c r="G346" s="2" t="inlineStr">
        <is>
          <t>Small WPB HVAC services brand; verify license display and booking</t>
        </is>
      </c>
      <c r="H346" s="2" t="inlineStr">
        <is>
          <t>palm-beach-north</t>
        </is>
      </c>
      <c r="I346" s="2" t="inlineStr">
        <is>
          <t>https://straightac.com/</t>
        </is>
      </c>
    </row>
    <row r="347">
      <c r="A347" s="2" t="inlineStr">
        <is>
          <t>Swift AC</t>
        </is>
      </c>
      <c r="B347" s="2" t="inlineStr"/>
      <c r="C347" s="2" t="inlineStr">
        <is>
          <t>Palm Beach</t>
        </is>
      </c>
      <c r="D347" s="2" t="inlineStr"/>
      <c r="E347" s="2" t="inlineStr">
        <is>
          <t>https://swiftacfl.com/</t>
        </is>
      </c>
      <c r="F347" s="2" t="inlineStr"/>
      <c r="G347" s="2" t="inlineStr">
        <is>
          <t>Commercial AC/HVAC targeting North Palm Beach; HQ not confirmed</t>
        </is>
      </c>
      <c r="H347" s="2" t="inlineStr">
        <is>
          <t>palm-beach-north</t>
        </is>
      </c>
      <c r="I347" s="2" t="inlineStr">
        <is>
          <t>https://swiftacfl.com/commercial-ac-hvac/palm-beach-county/north-palm-beach</t>
        </is>
      </c>
    </row>
    <row r="348">
      <c r="A348" s="2" t="inlineStr">
        <is>
          <t>Telford Cooling LLC</t>
        </is>
      </c>
      <c r="B348" s="2" t="inlineStr">
        <is>
          <t>Boynton Beach area</t>
        </is>
      </c>
      <c r="C348" s="2" t="inlineStr">
        <is>
          <t>Palm Beach</t>
        </is>
      </c>
      <c r="D348" s="2" t="inlineStr"/>
      <c r="E348" s="2" t="inlineStr"/>
      <c r="F348" s="2" t="inlineStr"/>
      <c r="G348" s="2" t="inlineStr">
        <is>
          <t>BBB A+ accredited AC contractor near Boynton Beach. LLC, no website in snippet - thin web presence is itself the pitch. Verify address/phone.</t>
        </is>
      </c>
      <c r="H348" s="2" t="inlineStr">
        <is>
          <t>palm-beach-south</t>
        </is>
      </c>
      <c r="I348" s="2" t="inlineStr">
        <is>
          <t>https://www.bbb.org/us/fl/boynton-beach/category/air-conditioning-contractor/accredited</t>
        </is>
      </c>
    </row>
    <row r="349">
      <c r="A349" s="2" t="inlineStr">
        <is>
          <t>Tri-County HVAC LLC</t>
        </is>
      </c>
      <c r="B349" s="2" t="inlineStr">
        <is>
          <t>Loxahatchee</t>
        </is>
      </c>
      <c r="C349" s="2" t="inlineStr">
        <is>
          <t>Palm Beach</t>
        </is>
      </c>
      <c r="D349" s="2" t="inlineStr"/>
      <c r="E349" s="2" t="inlineStr"/>
      <c r="F349" s="2" t="inlineStr"/>
      <c r="G349" s="2" t="inlineStr">
        <is>
          <t>20+ yrs, res + commercial; only a Nextdoor page surfaced (Facebook/Nextdoor-only presence)</t>
        </is>
      </c>
      <c r="H349" s="2" t="inlineStr">
        <is>
          <t>palm-beach-north</t>
        </is>
      </c>
      <c r="I349" s="2" t="inlineStr">
        <is>
          <t>https://nextdoor.com/pages/tri-county-hvac-llc/</t>
        </is>
      </c>
    </row>
    <row r="350">
      <c r="A350" s="2" t="inlineStr">
        <is>
          <t>True Breeze Heating &amp; Cooling</t>
        </is>
      </c>
      <c r="B350" s="2" t="inlineStr"/>
      <c r="C350" s="2" t="inlineStr">
        <is>
          <t>Palm Beach</t>
        </is>
      </c>
      <c r="D350" s="2" t="inlineStr"/>
      <c r="E350" s="2" t="inlineStr"/>
      <c r="F350" s="2" t="inlineStr">
        <is>
          <t>Angi 5.0 (23)</t>
        </is>
      </c>
      <c r="G350" s="2" t="inlineStr">
        <is>
          <t>Angi-listed PBG area; only 23 reviews = newer/small</t>
        </is>
      </c>
      <c r="H350" s="2" t="inlineStr">
        <is>
          <t>palm-beach-north</t>
        </is>
      </c>
      <c r="I350" s="2" t="inlineStr">
        <is>
          <t>https://www.angi.com/companylist/us/fl/palm-beach-gardens/hvac.htm</t>
        </is>
      </c>
    </row>
    <row r="351">
      <c r="A351" s="2" t="inlineStr">
        <is>
          <t>TRV South</t>
        </is>
      </c>
      <c r="B351" s="2" t="inlineStr">
        <is>
          <t>Boca Raton</t>
        </is>
      </c>
      <c r="C351" s="2" t="inlineStr">
        <is>
          <t>Palm Beach</t>
        </is>
      </c>
      <c r="D351" s="2" t="inlineStr"/>
      <c r="E351" s="2" t="inlineStr"/>
      <c r="F351" s="2" t="inlineStr"/>
      <c r="G351" s="2" t="inlineStr">
        <is>
          <t>Address: 1000 Clint Moore Rd Suite 108, Boca Raton, FL 33487. Family-owned full-service HVAC + plumbing + electrical contractor, 20+ years, commercial and residential - exact multi-trade profile; phone not in snippet.</t>
        </is>
      </c>
      <c r="H351" s="2" t="inlineStr">
        <is>
          <t>palm-beach-south</t>
        </is>
      </c>
      <c r="I351" s="2" t="inlineStr">
        <is>
          <t>https://downtobid.com/contractors/hvac/boca-raton</t>
        </is>
      </c>
    </row>
    <row r="352">
      <c r="A352" s="2" t="inlineStr">
        <is>
          <t>Wise Air Conditioning, LLC</t>
        </is>
      </c>
      <c r="B352" s="2" t="inlineStr"/>
      <c r="C352" s="2" t="inlineStr">
        <is>
          <t>Palm Beach</t>
        </is>
      </c>
      <c r="D352" s="2" t="inlineStr"/>
      <c r="E352" s="2" t="inlineStr"/>
      <c r="F352" s="2" t="inlineStr">
        <is>
          <t>Angi 4.9 (124)</t>
        </is>
      </c>
      <c r="G352" s="2" t="inlineStr">
        <is>
          <t>Angi top PBG HVAC pro; HQ not confirmed</t>
        </is>
      </c>
      <c r="H352" s="2" t="inlineStr">
        <is>
          <t>palm-beach-north</t>
        </is>
      </c>
      <c r="I352" s="2" t="inlineStr">
        <is>
          <t>https://www.angi.com/companylist/us/fl/palm-beach-gardens/hvac.htm</t>
        </is>
      </c>
    </row>
    <row r="353">
      <c r="A353" s="2" t="inlineStr">
        <is>
          <t>A&amp;P Air Conditioning Corporation</t>
        </is>
      </c>
      <c r="B353" s="2" t="inlineStr">
        <is>
          <t>Hialeah</t>
        </is>
      </c>
      <c r="C353" s="2" t="inlineStr">
        <is>
          <t>Miami-Dade</t>
        </is>
      </c>
      <c r="D353" s="2" t="inlineStr"/>
      <c r="E353" s="2" t="inlineStr">
        <is>
          <t>http://www.apairconditioning.com</t>
        </is>
      </c>
      <c r="F353" s="2" t="inlineStr"/>
      <c r="G353" s="2" t="inlineStr">
        <is>
          <t>Hialeah HVAC contractor (NAICS 23822, 1-50 staff); indexed by Apollo since 2014 so likely an established shop - check site for maintenance plan/online booking; phone and license not captured (site blocked from this sandbox).</t>
        </is>
      </c>
      <c r="H353" s="2" t="inlineStr">
        <is>
          <t>miami-dade-north</t>
        </is>
      </c>
      <c r="I353" s="2" t="inlineStr">
        <is>
          <t>http://www.apairconditioning.com</t>
        </is>
      </c>
    </row>
    <row r="354">
      <c r="A354" s="2" t="inlineStr">
        <is>
          <t>Air At Your Door, Inc.</t>
        </is>
      </c>
      <c r="B354" s="2" t="inlineStr">
        <is>
          <t>Miami</t>
        </is>
      </c>
      <c r="C354" s="2" t="inlineStr">
        <is>
          <t>Miami-Dade</t>
        </is>
      </c>
      <c r="D354" s="2" t="inlineStr"/>
      <c r="E354" s="2" t="inlineStr">
        <is>
          <t>http://www.airatyourdoor.com</t>
        </is>
      </c>
      <c r="F354" s="2" t="inlineStr"/>
      <c r="G354" s="2" t="inlineStr">
        <is>
          <t>Miami residential AC service (NAICS 23822, indexed 2014); neighborhood unverified.</t>
        </is>
      </c>
      <c r="H354" s="2" t="inlineStr">
        <is>
          <t>miami-dade-north</t>
        </is>
      </c>
      <c r="I354" s="2" t="inlineStr">
        <is>
          <t>http://www.airatyourdoor.com</t>
        </is>
      </c>
    </row>
    <row r="355">
      <c r="A355" s="2" t="inlineStr">
        <is>
          <t>Air Changes Mechanical</t>
        </is>
      </c>
      <c r="B355" s="2" t="inlineStr">
        <is>
          <t>Miami</t>
        </is>
      </c>
      <c r="C355" s="2" t="inlineStr">
        <is>
          <t>Miami-Dade</t>
        </is>
      </c>
      <c r="D355" s="2" t="inlineStr"/>
      <c r="E355" s="2" t="inlineStr">
        <is>
          <t>http://www.airchanges.us</t>
        </is>
      </c>
      <c r="F355" s="2" t="inlineStr"/>
      <c r="G355" s="2" t="inlineStr">
        <is>
          <t>Miami mechanical/HVAC contractor first indexed Nov 2022 - young; .us domain suggests DIY site; neighborhood unverified.</t>
        </is>
      </c>
      <c r="H355" s="2" t="inlineStr">
        <is>
          <t>miami-dade-north</t>
        </is>
      </c>
      <c r="I355" s="2" t="inlineStr">
        <is>
          <t>http://www.airchanges.us</t>
        </is>
      </c>
    </row>
    <row r="356">
      <c r="A356" s="2" t="inlineStr">
        <is>
          <t>Air Solution and Repair</t>
        </is>
      </c>
      <c r="B356" s="2" t="inlineStr">
        <is>
          <t>Miami</t>
        </is>
      </c>
      <c r="C356" s="2" t="inlineStr">
        <is>
          <t>Miami-Dade</t>
        </is>
      </c>
      <c r="D356" s="2" t="inlineStr"/>
      <c r="E356" s="2" t="inlineStr">
        <is>
          <t>http://www.airsolutionrepair.com</t>
        </is>
      </c>
      <c r="F356" s="2" t="inlineStr"/>
      <c r="G356" s="2" t="inlineStr">
        <is>
          <t>Miami AC repair shop first indexed Jan 2023; Apollo name is keyword-stuffed ('Air Conditioning Repair Miami - ...') = SEO-dependent small operator; neighborhood unverified.</t>
        </is>
      </c>
      <c r="H356" s="2" t="inlineStr">
        <is>
          <t>miami-dade-north</t>
        </is>
      </c>
      <c r="I356" s="2" t="inlineStr">
        <is>
          <t>http://www.airsolutionrepair.com</t>
        </is>
      </c>
    </row>
    <row r="357">
      <c r="A357" s="2" t="inlineStr">
        <is>
          <t>Airtech Air Conditioning</t>
        </is>
      </c>
      <c r="B357" s="2" t="inlineStr">
        <is>
          <t>Doral</t>
        </is>
      </c>
      <c r="C357" s="2" t="inlineStr">
        <is>
          <t>Miami-Dade</t>
        </is>
      </c>
      <c r="D357" s="2" t="inlineStr"/>
      <c r="E357" s="2" t="inlineStr">
        <is>
          <t>http://www.airtechac.net</t>
        </is>
      </c>
      <c r="F357" s="2" t="inlineStr"/>
      <c r="G357" s="2" t="inlineStr">
        <is>
          <t>Established Doral AC company (indexed 2014), .net domain suggests dated site - check for online booking, reviews and CAC number.</t>
        </is>
      </c>
      <c r="H357" s="2" t="inlineStr">
        <is>
          <t>miami-dade-north</t>
        </is>
      </c>
      <c r="I357" s="2" t="inlineStr">
        <is>
          <t>http://www.airtechac.net</t>
        </is>
      </c>
    </row>
    <row r="358">
      <c r="A358" s="2" t="inlineStr">
        <is>
          <t>Alfresco Air</t>
        </is>
      </c>
      <c r="B358" s="2" t="inlineStr">
        <is>
          <t>Miami</t>
        </is>
      </c>
      <c r="C358" s="2" t="inlineStr">
        <is>
          <t>Miami-Dade</t>
        </is>
      </c>
      <c r="D358" s="2" t="inlineStr"/>
      <c r="E358" s="2" t="inlineStr">
        <is>
          <t>http://www.alfrescoair.com</t>
        </is>
      </c>
      <c r="F358" s="2" t="inlineStr"/>
      <c r="G358" s="2" t="inlineStr">
        <is>
          <t>Miami HVAC contractor (NAICS 23822) first indexed Jun 2025 - brand-new company; neighborhood unverified.</t>
        </is>
      </c>
      <c r="H358" s="2" t="inlineStr">
        <is>
          <t>miami-dade-north</t>
        </is>
      </c>
      <c r="I358" s="2" t="inlineStr">
        <is>
          <t>http://www.alfrescoair.com</t>
        </is>
      </c>
    </row>
    <row r="359">
      <c r="A359" s="2" t="inlineStr">
        <is>
          <t>Ameri Temp Air Conditioning, Inc.</t>
        </is>
      </c>
      <c r="B359" s="2" t="inlineStr">
        <is>
          <t>Miami</t>
        </is>
      </c>
      <c r="C359" s="2" t="inlineStr">
        <is>
          <t>Miami-Dade</t>
        </is>
      </c>
      <c r="D359" s="2" t="inlineStr"/>
      <c r="E359" s="2" t="inlineStr">
        <is>
          <t>http://www.ameritempac.com</t>
        </is>
      </c>
      <c r="F359" s="2" t="inlineStr"/>
      <c r="G359" s="2" t="inlineStr">
        <is>
          <t>Established Miami residential AC company (NAICS 23822, indexed 2014); neighborhood not verified; check for maintenance plan and booking.</t>
        </is>
      </c>
      <c r="H359" s="2" t="inlineStr">
        <is>
          <t>miami-dade-north</t>
        </is>
      </c>
      <c r="I359" s="2" t="inlineStr">
        <is>
          <t>http://www.ameritempac.com</t>
        </is>
      </c>
    </row>
    <row r="360">
      <c r="A360" s="2" t="inlineStr">
        <is>
          <t>ARDOK</t>
        </is>
      </c>
      <c r="B360" s="2" t="inlineStr">
        <is>
          <t>Doral</t>
        </is>
      </c>
      <c r="C360" s="2" t="inlineStr">
        <is>
          <t>Miami-Dade</t>
        </is>
      </c>
      <c r="D360" s="2" t="inlineStr"/>
      <c r="E360" s="2" t="inlineStr">
        <is>
          <t>http://www.ardok.net</t>
        </is>
      </c>
      <c r="F360" s="2" t="inlineStr"/>
      <c r="G360" s="2" t="inlineStr">
        <is>
          <t>Doral HVAC contractor (NAICS 23822) first indexed Aug 2022 - young company; .net domain; verify size and services.</t>
        </is>
      </c>
      <c r="H360" s="2" t="inlineStr">
        <is>
          <t>miami-dade-north</t>
        </is>
      </c>
      <c r="I360" s="2" t="inlineStr">
        <is>
          <t>http://www.ardok.net</t>
        </is>
      </c>
    </row>
    <row r="361">
      <c r="A361" s="2" t="inlineStr">
        <is>
          <t>ASP SuperHome</t>
        </is>
      </c>
      <c r="B361" s="2" t="inlineStr">
        <is>
          <t>Doral</t>
        </is>
      </c>
      <c r="C361" s="2" t="inlineStr">
        <is>
          <t>Miami-Dade</t>
        </is>
      </c>
      <c r="D361" s="2" t="inlineStr"/>
      <c r="E361" s="2" t="inlineStr">
        <is>
          <t>http://www.aspsuperhome.com</t>
        </is>
      </c>
      <c r="F361" s="2" t="inlineStr"/>
      <c r="G361" s="2" t="inlineStr">
        <is>
          <t>Doral home-services brand tagged HVAC, first indexed Mar 2022; confirm AC is core and not handyman-only.</t>
        </is>
      </c>
      <c r="H361" s="2" t="inlineStr">
        <is>
          <t>miami-dade-north</t>
        </is>
      </c>
      <c r="I361" s="2" t="inlineStr">
        <is>
          <t>http://www.aspsuperhome.com</t>
        </is>
      </c>
    </row>
    <row r="362">
      <c r="A362" s="2" t="inlineStr">
        <is>
          <t>Austen Enterprises</t>
        </is>
      </c>
      <c r="B362" s="2" t="inlineStr">
        <is>
          <t>Hialeah</t>
        </is>
      </c>
      <c r="C362" s="2" t="inlineStr">
        <is>
          <t>Miami-Dade</t>
        </is>
      </c>
      <c r="D362" s="2" t="inlineStr"/>
      <c r="E362" s="2" t="inlineStr">
        <is>
          <t>http://www.austenenterprises.com</t>
        </is>
      </c>
      <c r="F362" s="2" t="inlineStr"/>
      <c r="G362" s="2" t="inlineStr">
        <is>
          <t>Hialeah company tagged air conditioning/HVAC in Apollo; generic corporate name - confirm it is an AC contractor before calling.</t>
        </is>
      </c>
      <c r="H362" s="2" t="inlineStr">
        <is>
          <t>miami-dade-north</t>
        </is>
      </c>
      <c r="I362" s="2" t="inlineStr">
        <is>
          <t>http://www.austenenterprises.com</t>
        </is>
      </c>
    </row>
    <row r="363">
      <c r="A363" s="2" t="inlineStr">
        <is>
          <t>Blizzard Air Conditioning, LLC</t>
        </is>
      </c>
      <c r="B363" s="2" t="inlineStr">
        <is>
          <t>Miami</t>
        </is>
      </c>
      <c r="C363" s="2" t="inlineStr">
        <is>
          <t>Miami-Dade</t>
        </is>
      </c>
      <c r="D363" s="2" t="inlineStr"/>
      <c r="E363" s="2" t="inlineStr">
        <is>
          <t>http://www.blizzardairfl.com</t>
        </is>
      </c>
      <c r="F363" s="2" t="inlineStr"/>
      <c r="G363" s="2" t="inlineStr">
        <is>
          <t>Miami AC LLC first indexed Jan 2022 - likely 2021-era startup; neighborhood unverified.</t>
        </is>
      </c>
      <c r="H363" s="2" t="inlineStr">
        <is>
          <t>miami-dade-north</t>
        </is>
      </c>
      <c r="I363" s="2" t="inlineStr">
        <is>
          <t>http://www.blizzardairfl.com</t>
        </is>
      </c>
    </row>
    <row r="364">
      <c r="A364" s="2" t="inlineStr">
        <is>
          <t>Chalex Cool Air of Miami</t>
        </is>
      </c>
      <c r="B364" s="2" t="inlineStr">
        <is>
          <t>Miami</t>
        </is>
      </c>
      <c r="C364" s="2" t="inlineStr">
        <is>
          <t>Miami-Dade</t>
        </is>
      </c>
      <c r="D364" s="2" t="inlineStr"/>
      <c r="E364" s="2" t="inlineStr">
        <is>
          <t>http://www.chalexcool.com</t>
        </is>
      </c>
      <c r="F364" s="2" t="inlineStr"/>
      <c r="G364" s="2" t="inlineStr">
        <is>
          <t>Small Miami AC repair shop (NAICS 23822, indexed 2015); neighborhood unverified; check for online booking/maintenance plan.</t>
        </is>
      </c>
      <c r="H364" s="2" t="inlineStr">
        <is>
          <t>miami-dade-north</t>
        </is>
      </c>
      <c r="I364" s="2" t="inlineStr">
        <is>
          <t>http://www.chalexcool.com</t>
        </is>
      </c>
    </row>
    <row r="365">
      <c r="A365" s="2" t="inlineStr">
        <is>
          <t>Cool Breeze Air Conditioning Corp.</t>
        </is>
      </c>
      <c r="B365" s="2" t="inlineStr">
        <is>
          <t>Miami</t>
        </is>
      </c>
      <c r="C365" s="2" t="inlineStr">
        <is>
          <t>Miami-Dade</t>
        </is>
      </c>
      <c r="D365" s="2" t="inlineStr"/>
      <c r="E365" s="2" t="inlineStr">
        <is>
          <t>http://www.cool-breezeac.com</t>
        </is>
      </c>
      <c r="F365" s="2" t="inlineStr"/>
      <c r="G365" s="2" t="inlineStr">
        <is>
          <t>Miami AC corp tagged air conditioning, 1-50 staff; hyphenated domain suggests older site; neighborhood unverified.</t>
        </is>
      </c>
      <c r="H365" s="2" t="inlineStr">
        <is>
          <t>miami-dade-north</t>
        </is>
      </c>
      <c r="I365" s="2" t="inlineStr">
        <is>
          <t>http://www.cool-breezeac.com</t>
        </is>
      </c>
    </row>
    <row r="366">
      <c r="A366" s="2" t="inlineStr">
        <is>
          <t>Coolfort AC Solutions Corp.</t>
        </is>
      </c>
      <c r="B366" s="2" t="inlineStr">
        <is>
          <t>Miami</t>
        </is>
      </c>
      <c r="C366" s="2" t="inlineStr">
        <is>
          <t>Miami-Dade</t>
        </is>
      </c>
      <c r="D366" s="2" t="inlineStr"/>
      <c r="E366" s="2" t="inlineStr">
        <is>
          <t>http://www.coolfortacsolutionscorp.com</t>
        </is>
      </c>
      <c r="F366" s="2" t="inlineStr"/>
      <c r="G366" s="2" t="inlineStr">
        <is>
          <t>Miami AC contractor first indexed Nov 2022 - young company; long unbranded domain suggests DIY web presence; neighborhood unverified.</t>
        </is>
      </c>
      <c r="H366" s="2" t="inlineStr">
        <is>
          <t>miami-dade-north</t>
        </is>
      </c>
      <c r="I366" s="2" t="inlineStr">
        <is>
          <t>http://www.coolfortacsolutionscorp.com</t>
        </is>
      </c>
    </row>
    <row r="367">
      <c r="A367" s="2" t="inlineStr">
        <is>
          <t>CoolSquad Air Conditioning</t>
        </is>
      </c>
      <c r="B367" s="2" t="inlineStr">
        <is>
          <t>Miami</t>
        </is>
      </c>
      <c r="C367" s="2" t="inlineStr">
        <is>
          <t>Miami-Dade</t>
        </is>
      </c>
      <c r="D367" s="2" t="inlineStr"/>
      <c r="E367" s="2" t="inlineStr">
        <is>
          <t>http://www.coolsquadac.com</t>
        </is>
      </c>
      <c r="F367" s="2" t="inlineStr"/>
      <c r="G367" s="2" t="inlineStr">
        <is>
          <t>Miami AC company tagged air conditioning, 1-50 staff; neighborhood unverified.</t>
        </is>
      </c>
      <c r="H367" s="2" t="inlineStr">
        <is>
          <t>miami-dade-north</t>
        </is>
      </c>
      <c r="I367" s="2" t="inlineStr">
        <is>
          <t>http://www.coolsquadac.com</t>
        </is>
      </c>
    </row>
    <row r="368">
      <c r="A368" s="2" t="inlineStr">
        <is>
          <t>Dade Super Cool Air Conditioning, Inc.</t>
        </is>
      </c>
      <c r="B368" s="2" t="inlineStr">
        <is>
          <t>Miami</t>
        </is>
      </c>
      <c r="C368" s="2" t="inlineStr">
        <is>
          <t>Miami-Dade</t>
        </is>
      </c>
      <c r="D368" s="2" t="inlineStr"/>
      <c r="E368" s="2" t="inlineStr">
        <is>
          <t>http://www.dadesupercool.com</t>
        </is>
      </c>
      <c r="F368" s="2" t="inlineStr"/>
      <c r="G368" s="2" t="inlineStr">
        <is>
          <t>Miami AC repair shop (NAICS 23822, indexed 2019); name/branding suggests small family operation; neighborhood unverified.</t>
        </is>
      </c>
      <c r="H368" s="2" t="inlineStr">
        <is>
          <t>miami-dade-north</t>
        </is>
      </c>
      <c r="I368" s="2" t="inlineStr">
        <is>
          <t>http://www.dadesupercool.com</t>
        </is>
      </c>
    </row>
    <row r="369">
      <c r="A369" s="2" t="inlineStr">
        <is>
          <t>DebonAir Mechanical</t>
        </is>
      </c>
      <c r="B369" s="2" t="inlineStr">
        <is>
          <t>Miami Lakes</t>
        </is>
      </c>
      <c r="C369" s="2" t="inlineStr">
        <is>
          <t>Miami-Dade</t>
        </is>
      </c>
      <c r="D369" s="2" t="inlineStr"/>
      <c r="E369" s="2" t="inlineStr">
        <is>
          <t>http://www.debonairac.com</t>
        </is>
      </c>
      <c r="F369" s="2" t="inlineStr"/>
      <c r="G369" s="2" t="inlineStr">
        <is>
          <t>Only NAICS-23822 HVAC contractor Apollo places in Miami Lakes; 1-50 staff, indexed 2018 - established local shop; verify booking/reviews.</t>
        </is>
      </c>
      <c r="H369" s="2" t="inlineStr">
        <is>
          <t>miami-dade-north</t>
        </is>
      </c>
      <c r="I369" s="2" t="inlineStr">
        <is>
          <t>http://www.debonairac.com</t>
        </is>
      </c>
    </row>
    <row r="370">
      <c r="A370" s="2" t="inlineStr">
        <is>
          <t>eAir LLC</t>
        </is>
      </c>
      <c r="B370" s="2" t="inlineStr">
        <is>
          <t>Medley</t>
        </is>
      </c>
      <c r="C370" s="2" t="inlineStr">
        <is>
          <t>Miami-Dade</t>
        </is>
      </c>
      <c r="D370" s="2" t="inlineStr"/>
      <c r="E370" s="2" t="inlineStr">
        <is>
          <t>http://www.eairllc.com</t>
        </is>
      </c>
      <c r="F370" s="2" t="inlineStr"/>
      <c r="G370" s="2" t="inlineStr">
        <is>
          <t>Medley HVAC contractor tagged air conditioning, indexed since 2015; industrial-area HQ suggests commercial/warehouse work; verify.</t>
        </is>
      </c>
      <c r="H370" s="2" t="inlineStr">
        <is>
          <t>miami-dade-north</t>
        </is>
      </c>
      <c r="I370" s="2" t="inlineStr">
        <is>
          <t>http://www.eairllc.com</t>
        </is>
      </c>
    </row>
    <row r="371">
      <c r="A371" s="2" t="inlineStr">
        <is>
          <t>Expert HVAC Services</t>
        </is>
      </c>
      <c r="B371" s="2" t="inlineStr">
        <is>
          <t>Miami</t>
        </is>
      </c>
      <c r="C371" s="2" t="inlineStr">
        <is>
          <t>Miami-Dade</t>
        </is>
      </c>
      <c r="D371" s="2" t="inlineStr"/>
      <c r="E371" s="2" t="inlineStr">
        <is>
          <t>http://www.24-7airconditioningservice.com</t>
        </is>
      </c>
      <c r="F371" s="2" t="inlineStr"/>
      <c r="G371" s="2" t="inlineStr">
        <is>
          <t>Miami HVAC shop using a keyword domain (24-7airconditioningservice.com) - lead-gen/SEO dependent, likely weak brand and systems; neighborhood unverified.</t>
        </is>
      </c>
      <c r="H371" s="2" t="inlineStr">
        <is>
          <t>miami-dade-north</t>
        </is>
      </c>
      <c r="I371" s="2" t="inlineStr">
        <is>
          <t>http://www.24-7airconditioningservice.com</t>
        </is>
      </c>
    </row>
    <row r="372">
      <c r="A372" s="2" t="inlineStr">
        <is>
          <t>Florida Clean Air Plus</t>
        </is>
      </c>
      <c r="B372" s="2" t="inlineStr">
        <is>
          <t>North Miami Beach</t>
        </is>
      </c>
      <c r="C372" s="2" t="inlineStr">
        <is>
          <t>Miami-Dade</t>
        </is>
      </c>
      <c r="D372" s="2" t="inlineStr"/>
      <c r="E372" s="2" t="inlineStr">
        <is>
          <t>http://www.floridacleanairplus.com</t>
        </is>
      </c>
      <c r="F372" s="2" t="inlineStr"/>
      <c r="G372" s="2" t="inlineStr">
        <is>
          <t>North Miami Beach HVAC contractor (NAICS 23822) first indexed Jul 2022; name leans IAQ/duct - verify AC service scope.</t>
        </is>
      </c>
      <c r="H372" s="2" t="inlineStr">
        <is>
          <t>miami-dade-north</t>
        </is>
      </c>
      <c r="I372" s="2" t="inlineStr">
        <is>
          <t>http://www.floridacleanairplus.com</t>
        </is>
      </c>
    </row>
    <row r="373">
      <c r="A373" s="2" t="inlineStr">
        <is>
          <t>Florida HVAC Contractor Inc.</t>
        </is>
      </c>
      <c r="B373" s="2" t="inlineStr">
        <is>
          <t>Hialeah</t>
        </is>
      </c>
      <c r="C373" s="2" t="inlineStr">
        <is>
          <t>Miami-Dade</t>
        </is>
      </c>
      <c r="D373" s="2" t="inlineStr"/>
      <c r="E373" s="2" t="inlineStr">
        <is>
          <t>http://www.floridahvaccontractorinc.com</t>
        </is>
      </c>
      <c r="F373" s="2" t="inlineStr"/>
      <c r="G373" s="2" t="inlineStr">
        <is>
          <t>Hialeah HVAC contractor first indexed Sep 2024; generic SEO-style name suggests lead-gen dependence and thin brand - weak-systems signal, verify.</t>
        </is>
      </c>
      <c r="H373" s="2" t="inlineStr">
        <is>
          <t>miami-dade-north</t>
        </is>
      </c>
      <c r="I373" s="2" t="inlineStr">
        <is>
          <t>http://www.floridahvaccontractorinc.com</t>
        </is>
      </c>
    </row>
    <row r="374">
      <c r="A374" s="2" t="inlineStr">
        <is>
          <t>Gables Air Conditioning</t>
        </is>
      </c>
      <c r="B374" s="2" t="inlineStr">
        <is>
          <t>Medley</t>
        </is>
      </c>
      <c r="C374" s="2" t="inlineStr">
        <is>
          <t>Miami-Dade</t>
        </is>
      </c>
      <c r="D374" s="2" t="inlineStr"/>
      <c r="E374" s="2" t="inlineStr">
        <is>
          <t>http://www.gablesair.com</t>
        </is>
      </c>
      <c r="F374" s="2" t="inlineStr"/>
      <c r="G374" s="2" t="inlineStr">
        <is>
          <t>AC company first indexed Sep 2024 (young); Apollo HQ Medley though name implies Coral Gables service area - verify location and size.</t>
        </is>
      </c>
      <c r="H374" s="2" t="inlineStr">
        <is>
          <t>miami-dade-north</t>
        </is>
      </c>
      <c r="I374" s="2" t="inlineStr">
        <is>
          <t>http://www.gablesair.com</t>
        </is>
      </c>
    </row>
    <row r="375">
      <c r="A375" s="2" t="inlineStr">
        <is>
          <t>Green Master Air Duct Cleaning &amp; AC</t>
        </is>
      </c>
      <c r="B375" s="2" t="inlineStr">
        <is>
          <t>North Miami</t>
        </is>
      </c>
      <c r="C375" s="2" t="inlineStr">
        <is>
          <t>Miami-Dade</t>
        </is>
      </c>
      <c r="D375" s="2" t="inlineStr"/>
      <c r="E375" s="2" t="inlineStr">
        <is>
          <t>http://www.greenmasterairductcleaning.com</t>
        </is>
      </c>
      <c r="F375" s="2" t="inlineStr"/>
      <c r="G375" s="2" t="inlineStr">
        <is>
          <t>Borderline: duct-cleaning-led brand that also does AC; mark X if AC repair/install is not a real line of business.</t>
        </is>
      </c>
      <c r="H375" s="2" t="inlineStr">
        <is>
          <t>miami-dade-north</t>
        </is>
      </c>
      <c r="I375" s="2" t="inlineStr">
        <is>
          <t>http://www.greenmasterairductcleaning.com</t>
        </is>
      </c>
    </row>
    <row r="376">
      <c r="A376" s="2" t="inlineStr">
        <is>
          <t>Harmath Inc.</t>
        </is>
      </c>
      <c r="B376" s="2" t="inlineStr">
        <is>
          <t>Opa-locka</t>
        </is>
      </c>
      <c r="C376" s="2" t="inlineStr">
        <is>
          <t>Miami-Dade</t>
        </is>
      </c>
      <c r="D376" s="2" t="inlineStr"/>
      <c r="E376" s="2" t="inlineStr">
        <is>
          <t>http://www.harmath.com</t>
        </is>
      </c>
      <c r="F376" s="2" t="inlineStr"/>
      <c r="G376" s="2" t="inlineStr">
        <is>
          <t>Opa-locka company tagged air conditioning/HVAC; confirm contractor status and services.</t>
        </is>
      </c>
      <c r="H376" s="2" t="inlineStr">
        <is>
          <t>miami-dade-north</t>
        </is>
      </c>
      <c r="I376" s="2" t="inlineStr">
        <is>
          <t>http://www.harmath.com</t>
        </is>
      </c>
    </row>
    <row r="377">
      <c r="A377" s="2" t="inlineStr">
        <is>
          <t>Highest Point Mechanical</t>
        </is>
      </c>
      <c r="B377" s="2" t="inlineStr">
        <is>
          <t>Hialeah</t>
        </is>
      </c>
      <c r="C377" s="2" t="inlineStr">
        <is>
          <t>Miami-Dade</t>
        </is>
      </c>
      <c r="D377" s="2" t="inlineStr"/>
      <c r="E377" s="2" t="inlineStr">
        <is>
          <t>http://www.highestpointmechanical.com</t>
        </is>
      </c>
      <c r="F377" s="2" t="inlineStr"/>
      <c r="G377" s="2" t="inlineStr">
        <is>
          <t>Hialeah mechanical/HVAC contractor first indexed Dec 2021 - young company; verify residential vs commercial mix.</t>
        </is>
      </c>
      <c r="H377" s="2" t="inlineStr">
        <is>
          <t>miami-dade-north</t>
        </is>
      </c>
      <c r="I377" s="2" t="inlineStr">
        <is>
          <t>http://www.highestpointmechanical.com</t>
        </is>
      </c>
    </row>
    <row r="378">
      <c r="A378" s="2" t="inlineStr">
        <is>
          <t>Hop Contracting</t>
        </is>
      </c>
      <c r="B378" s="2" t="inlineStr">
        <is>
          <t>Hialeah Gardens</t>
        </is>
      </c>
      <c r="C378" s="2" t="inlineStr">
        <is>
          <t>Miami-Dade</t>
        </is>
      </c>
      <c r="D378" s="2" t="inlineStr"/>
      <c r="E378" s="2" t="inlineStr">
        <is>
          <t>http://www.hopcontracting.net</t>
        </is>
      </c>
      <c r="F378" s="2" t="inlineStr"/>
      <c r="G378" s="2" t="inlineStr">
        <is>
          <t>Hialeah Gardens contractor tagged HVAC, first indexed May 2021 - confirm HVAC is core trade.</t>
        </is>
      </c>
      <c r="H378" s="2" t="inlineStr">
        <is>
          <t>miami-dade-north</t>
        </is>
      </c>
      <c r="I378" s="2" t="inlineStr">
        <is>
          <t>http://www.hopcontracting.net</t>
        </is>
      </c>
    </row>
    <row r="379">
      <c r="A379" s="2" t="inlineStr">
        <is>
          <t>Indoor Air Quality Services, Inc.</t>
        </is>
      </c>
      <c r="B379" s="2" t="inlineStr">
        <is>
          <t>Aventura</t>
        </is>
      </c>
      <c r="C379" s="2" t="inlineStr">
        <is>
          <t>Miami-Dade</t>
        </is>
      </c>
      <c r="D379" s="2" t="inlineStr"/>
      <c r="E379" s="2" t="inlineStr">
        <is>
          <t>http://www.iaqinc.com</t>
        </is>
      </c>
      <c r="F379" s="2" t="inlineStr"/>
      <c r="G379" s="2" t="inlineStr">
        <is>
          <t>Aventura IAQ/HVAC company, established (indexed 2014); verify it is not duct-cleaning-only before calling.</t>
        </is>
      </c>
      <c r="H379" s="2" t="inlineStr">
        <is>
          <t>miami-dade-north</t>
        </is>
      </c>
      <c r="I379" s="2" t="inlineStr">
        <is>
          <t>http://www.iaqinc.com</t>
        </is>
      </c>
    </row>
    <row r="380">
      <c r="A380" s="2" t="inlineStr">
        <is>
          <t>Key Deer Mechanical</t>
        </is>
      </c>
      <c r="B380" s="2" t="inlineStr">
        <is>
          <t>Miami</t>
        </is>
      </c>
      <c r="C380" s="2" t="inlineStr">
        <is>
          <t>Miami-Dade</t>
        </is>
      </c>
      <c r="D380" s="2" t="inlineStr"/>
      <c r="E380" s="2" t="inlineStr">
        <is>
          <t>http://www.kdmechanical.com</t>
        </is>
      </c>
      <c r="F380" s="2" t="inlineStr"/>
      <c r="G380" s="2" t="inlineStr">
        <is>
          <t>Miami mechanical/HVAC contractor first indexed Nov 2024 - young; neighborhood unverified.</t>
        </is>
      </c>
      <c r="H380" s="2" t="inlineStr">
        <is>
          <t>miami-dade-north</t>
        </is>
      </c>
      <c r="I380" s="2" t="inlineStr">
        <is>
          <t>http://www.kdmechanical.com</t>
        </is>
      </c>
    </row>
    <row r="381">
      <c r="A381" s="2" t="inlineStr">
        <is>
          <t>Kool Frontier Air Conditioning and Refrigeration Repair Inc.</t>
        </is>
      </c>
      <c r="B381" s="2" t="inlineStr">
        <is>
          <t>Miami</t>
        </is>
      </c>
      <c r="C381" s="2" t="inlineStr">
        <is>
          <t>Miami-Dade</t>
        </is>
      </c>
      <c r="D381" s="2" t="inlineStr"/>
      <c r="E381" s="2" t="inlineStr">
        <is>
          <t>http://www.koolfrontier.com</t>
        </is>
      </c>
      <c r="F381" s="2" t="inlineStr"/>
      <c r="G381" s="2" t="inlineStr">
        <is>
          <t>Miami AC + commercial refrigeration repair shop (fits HVAC+refrigeration profile); neighborhood unverified.</t>
        </is>
      </c>
      <c r="H381" s="2" t="inlineStr">
        <is>
          <t>miami-dade-north</t>
        </is>
      </c>
      <c r="I381" s="2" t="inlineStr">
        <is>
          <t>http://www.koolfrontier.com</t>
        </is>
      </c>
    </row>
    <row r="382">
      <c r="A382" s="2" t="inlineStr">
        <is>
          <t>Lynk Pros</t>
        </is>
      </c>
      <c r="B382" s="2" t="inlineStr">
        <is>
          <t>Miami Lakes</t>
        </is>
      </c>
      <c r="C382" s="2" t="inlineStr">
        <is>
          <t>Miami-Dade</t>
        </is>
      </c>
      <c r="D382" s="2" t="inlineStr"/>
      <c r="E382" s="2" t="inlineStr">
        <is>
          <t>http://www.lynkpros.com</t>
        </is>
      </c>
      <c r="F382" s="2" t="inlineStr"/>
      <c r="G382" s="2" t="inlineStr">
        <is>
          <t>Miami Lakes home-services company tagged HVAC, first indexed May 2024; confirm HVAC is core trade.</t>
        </is>
      </c>
      <c r="H382" s="2" t="inlineStr">
        <is>
          <t>miami-dade-north</t>
        </is>
      </c>
      <c r="I382" s="2" t="inlineStr">
        <is>
          <t>http://www.lynkpros.com</t>
        </is>
      </c>
    </row>
    <row r="383">
      <c r="A383" s="2" t="inlineStr">
        <is>
          <t>MACS Corp</t>
        </is>
      </c>
      <c r="B383" s="2" t="inlineStr">
        <is>
          <t>Hialeah</t>
        </is>
      </c>
      <c r="C383" s="2" t="inlineStr">
        <is>
          <t>Miami-Dade</t>
        </is>
      </c>
      <c r="D383" s="2" t="inlineStr"/>
      <c r="E383" s="2" t="inlineStr">
        <is>
          <t>http://www.mymacservice.com</t>
        </is>
      </c>
      <c r="F383" s="2" t="inlineStr"/>
      <c r="G383" s="2" t="inlineStr">
        <is>
          <t>Hialeah AC service corp (domain 'mymacservice'); 1-50 staff; verify reviews and whether a maintenance-plan page exists.</t>
        </is>
      </c>
      <c r="H383" s="2" t="inlineStr">
        <is>
          <t>miami-dade-north</t>
        </is>
      </c>
      <c r="I383" s="2" t="inlineStr">
        <is>
          <t>http://www.mymacservice.com</t>
        </is>
      </c>
    </row>
    <row r="384">
      <c r="A384" s="2" t="inlineStr">
        <is>
          <t>MU Mechanical Contractor Corp.</t>
        </is>
      </c>
      <c r="B384" s="2" t="inlineStr">
        <is>
          <t>Doral</t>
        </is>
      </c>
      <c r="C384" s="2" t="inlineStr">
        <is>
          <t>Miami-Dade</t>
        </is>
      </c>
      <c r="D384" s="2" t="inlineStr"/>
      <c r="E384" s="2" t="inlineStr">
        <is>
          <t>http://www.mumcflorida.com</t>
        </is>
      </c>
      <c r="F384" s="2" t="inlineStr"/>
      <c r="G384" s="2" t="inlineStr">
        <is>
          <t>Doral mechanical contractor first indexed Feb 2023 - young commercial HVAC shop; verify staff count.</t>
        </is>
      </c>
      <c r="H384" s="2" t="inlineStr">
        <is>
          <t>miami-dade-north</t>
        </is>
      </c>
      <c r="I384" s="2" t="inlineStr">
        <is>
          <t>http://www.mumcflorida.com</t>
        </is>
      </c>
    </row>
    <row r="385">
      <c r="A385" s="2" t="inlineStr">
        <is>
          <t>Norca Air Conditioning and Heating, Corp.</t>
        </is>
      </c>
      <c r="B385" s="2" t="inlineStr">
        <is>
          <t>Miami</t>
        </is>
      </c>
      <c r="C385" s="2" t="inlineStr">
        <is>
          <t>Miami-Dade</t>
        </is>
      </c>
      <c r="D385" s="2" t="inlineStr"/>
      <c r="E385" s="2" t="inlineStr">
        <is>
          <t>http://www.norcaair.com</t>
        </is>
      </c>
      <c r="F385" s="2" t="inlineStr"/>
      <c r="G385" s="2" t="inlineStr">
        <is>
          <t>Established Miami AC contractor (NAICS 23822, indexed 2014); neighborhood unverified; check reviews and license display.</t>
        </is>
      </c>
      <c r="H385" s="2" t="inlineStr">
        <is>
          <t>miami-dade-north</t>
        </is>
      </c>
      <c r="I385" s="2" t="inlineStr">
        <is>
          <t>http://www.norcaair.com</t>
        </is>
      </c>
    </row>
    <row r="386">
      <c r="A386" s="2" t="inlineStr">
        <is>
          <t>Palma Air Conditioning</t>
        </is>
      </c>
      <c r="B386" s="2" t="inlineStr">
        <is>
          <t>Hialeah</t>
        </is>
      </c>
      <c r="C386" s="2" t="inlineStr">
        <is>
          <t>Miami-Dade</t>
        </is>
      </c>
      <c r="D386" s="2" t="inlineStr"/>
      <c r="E386" s="2" t="inlineStr">
        <is>
          <t>http://www.palmaair.com</t>
        </is>
      </c>
      <c r="F386" s="2" t="inlineStr"/>
      <c r="G386" s="2" t="inlineStr">
        <is>
          <t>Hialeah AC company first indexed Feb 2025 (new); domain did not resolve from the sandbox - possible dead/unbuilt website, strong weak-web-presence signal.</t>
        </is>
      </c>
      <c r="H386" s="2" t="inlineStr">
        <is>
          <t>miami-dade-north</t>
        </is>
      </c>
      <c r="I386" s="2" t="inlineStr">
        <is>
          <t>http://www.palmaair.com</t>
        </is>
      </c>
    </row>
    <row r="387">
      <c r="A387" s="2" t="inlineStr">
        <is>
          <t>Panther Air Conditioning</t>
        </is>
      </c>
      <c r="B387" s="2" t="inlineStr">
        <is>
          <t>Miami</t>
        </is>
      </c>
      <c r="C387" s="2" t="inlineStr">
        <is>
          <t>Miami-Dade</t>
        </is>
      </c>
      <c r="D387" s="2" t="inlineStr"/>
      <c r="E387" s="2" t="inlineStr">
        <is>
          <t>http://www.pantherairconditioning.com</t>
        </is>
      </c>
      <c r="F387" s="2" t="inlineStr"/>
      <c r="G387" s="2" t="inlineStr">
        <is>
          <t>Miami AC company first indexed Aug 2021 - fits 2021-2025 startup profile; neighborhood unverified.</t>
        </is>
      </c>
      <c r="H387" s="2" t="inlineStr">
        <is>
          <t>miami-dade-north</t>
        </is>
      </c>
      <c r="I387" s="2" t="inlineStr">
        <is>
          <t>http://www.pantherairconditioning.com</t>
        </is>
      </c>
    </row>
    <row r="388">
      <c r="A388" s="2" t="inlineStr">
        <is>
          <t>People's Plumbing &amp; Mechanical</t>
        </is>
      </c>
      <c r="B388" s="2" t="inlineStr">
        <is>
          <t>Miami</t>
        </is>
      </c>
      <c r="C388" s="2" t="inlineStr">
        <is>
          <t>Miami-Dade</t>
        </is>
      </c>
      <c r="D388" s="2" t="inlineStr"/>
      <c r="E388" s="2" t="inlineStr">
        <is>
          <t>http://www.peoplesplumbing.com</t>
        </is>
      </c>
      <c r="F388" s="2" t="inlineStr"/>
      <c r="G388" s="2" t="inlineStr">
        <is>
          <t>Plumbing + mechanical (HVAC) combo shop in Miami, first indexed Mar 2024 - multi-trade fit; neighborhood unverified.</t>
        </is>
      </c>
      <c r="H388" s="2" t="inlineStr">
        <is>
          <t>miami-dade-north</t>
        </is>
      </c>
      <c r="I388" s="2" t="inlineStr">
        <is>
          <t>http://www.peoplesplumbing.com</t>
        </is>
      </c>
    </row>
    <row r="389">
      <c r="A389" s="2" t="inlineStr">
        <is>
          <t>Premier Air Conditioning</t>
        </is>
      </c>
      <c r="B389" s="2" t="inlineStr">
        <is>
          <t>Hialeah</t>
        </is>
      </c>
      <c r="C389" s="2" t="inlineStr">
        <is>
          <t>Miami-Dade</t>
        </is>
      </c>
      <c r="D389" s="2" t="inlineStr"/>
      <c r="E389" s="2" t="inlineStr">
        <is>
          <t>http://www.trustpremierac.com</t>
        </is>
      </c>
      <c r="F389" s="2" t="inlineStr"/>
      <c r="G389" s="2" t="inlineStr">
        <is>
          <t>Hialeah AC company; 'trust...' domain pattern is typical of an agency-built site (check for tracking numbers / agency dependence); 1-50 staff.</t>
        </is>
      </c>
      <c r="H389" s="2" t="inlineStr">
        <is>
          <t>miami-dade-north</t>
        </is>
      </c>
      <c r="I389" s="2" t="inlineStr">
        <is>
          <t>http://www.trustpremierac.com</t>
        </is>
      </c>
    </row>
    <row r="390">
      <c r="A390" s="2" t="inlineStr">
        <is>
          <t>PrimeLines</t>
        </is>
      </c>
      <c r="B390" s="2" t="inlineStr">
        <is>
          <t>Miami</t>
        </is>
      </c>
      <c r="C390" s="2" t="inlineStr">
        <is>
          <t>Miami-Dade</t>
        </is>
      </c>
      <c r="D390" s="2" t="inlineStr"/>
      <c r="E390" s="2" t="inlineStr">
        <is>
          <t>http://www.primelines-hvac.com</t>
        </is>
      </c>
      <c r="F390" s="2" t="inlineStr"/>
      <c r="G390" s="2" t="inlineStr">
        <is>
          <t>Miami HVAC contractor first indexed Feb 2021; neighborhood unverified.</t>
        </is>
      </c>
      <c r="H390" s="2" t="inlineStr">
        <is>
          <t>miami-dade-north</t>
        </is>
      </c>
      <c r="I390" s="2" t="inlineStr">
        <is>
          <t>http://www.primelines-hvac.com</t>
        </is>
      </c>
    </row>
    <row r="391">
      <c r="A391" s="2" t="inlineStr">
        <is>
          <t>PRT Cool Service Inc</t>
        </is>
      </c>
      <c r="B391" s="2" t="inlineStr">
        <is>
          <t>Miami</t>
        </is>
      </c>
      <c r="C391" s="2" t="inlineStr">
        <is>
          <t>Miami-Dade</t>
        </is>
      </c>
      <c r="D391" s="2" t="inlineStr"/>
      <c r="E391" s="2" t="inlineStr">
        <is>
          <t>http://www.prtcoolservice.com</t>
        </is>
      </c>
      <c r="F391" s="2" t="inlineStr"/>
      <c r="G391" s="2" t="inlineStr">
        <is>
          <t>Miami AC service corp, 1-50 staff; neighborhood unverified.</t>
        </is>
      </c>
      <c r="H391" s="2" t="inlineStr">
        <is>
          <t>miami-dade-north</t>
        </is>
      </c>
      <c r="I391" s="2" t="inlineStr">
        <is>
          <t>http://www.prtcoolservice.com</t>
        </is>
      </c>
    </row>
    <row r="392">
      <c r="A392" s="2" t="inlineStr">
        <is>
          <t>RCI Air Conditioning Company</t>
        </is>
      </c>
      <c r="B392" s="2" t="inlineStr">
        <is>
          <t>Miami</t>
        </is>
      </c>
      <c r="C392" s="2" t="inlineStr">
        <is>
          <t>Miami-Dade</t>
        </is>
      </c>
      <c r="D392" s="2" t="inlineStr"/>
      <c r="E392" s="2" t="inlineStr">
        <is>
          <t>http://www.rci-air.com</t>
        </is>
      </c>
      <c r="F392" s="2" t="inlineStr"/>
      <c r="G392" s="2" t="inlineStr">
        <is>
          <t>Miami AC company first indexed Sep 2024 - young; neighborhood unverified.</t>
        </is>
      </c>
      <c r="H392" s="2" t="inlineStr">
        <is>
          <t>miami-dade-north</t>
        </is>
      </c>
      <c r="I392" s="2" t="inlineStr">
        <is>
          <t>http://www.rci-air.com</t>
        </is>
      </c>
    </row>
    <row r="393">
      <c r="A393" s="2" t="inlineStr">
        <is>
          <t>Sunshine State Air Conditioning, Inc</t>
        </is>
      </c>
      <c r="B393" s="2" t="inlineStr">
        <is>
          <t>Miami Gardens</t>
        </is>
      </c>
      <c r="C393" s="2" t="inlineStr">
        <is>
          <t>Miami-Dade</t>
        </is>
      </c>
      <c r="D393" s="2" t="inlineStr"/>
      <c r="E393" s="2" t="inlineStr">
        <is>
          <t>http://www.stateac.com</t>
        </is>
      </c>
      <c r="F393" s="2" t="inlineStr"/>
      <c r="G393" s="2" t="inlineStr">
        <is>
          <t>Established Miami Gardens AC company (indexed 2014); short legacy domain suggests older site - check for maintenance plan and online booking.</t>
        </is>
      </c>
      <c r="H393" s="2" t="inlineStr">
        <is>
          <t>miami-dade-north</t>
        </is>
      </c>
      <c r="I393" s="2" t="inlineStr">
        <is>
          <t>http://www.stateac.com</t>
        </is>
      </c>
    </row>
    <row r="394">
      <c r="A394" s="2" t="inlineStr">
        <is>
          <t>Tasco Plumbing &amp; Mechanical Corp.</t>
        </is>
      </c>
      <c r="B394" s="2" t="inlineStr">
        <is>
          <t>Hialeah</t>
        </is>
      </c>
      <c r="C394" s="2" t="inlineStr">
        <is>
          <t>Miami-Dade</t>
        </is>
      </c>
      <c r="D394" s="2" t="inlineStr"/>
      <c r="E394" s="2" t="inlineStr">
        <is>
          <t>http://www.tascoplumbing.com</t>
        </is>
      </c>
      <c r="F394" s="2" t="inlineStr"/>
      <c r="G394" s="2" t="inlineStr">
        <is>
          <t>HVAC + plumbing combo shop in Hialeah (ideal multi-trade profile); established (indexed 2014); verify trucks/staff and whether they run field-service software.</t>
        </is>
      </c>
      <c r="H394" s="2" t="inlineStr">
        <is>
          <t>miami-dade-north</t>
        </is>
      </c>
      <c r="I394" s="2" t="inlineStr">
        <is>
          <t>http://www.tascoplumbing.com</t>
        </is>
      </c>
    </row>
    <row r="395">
      <c r="A395" s="2" t="inlineStr">
        <is>
          <t>Temptrol Air Conditioning Inc</t>
        </is>
      </c>
      <c r="B395" s="2" t="inlineStr">
        <is>
          <t>Miami</t>
        </is>
      </c>
      <c r="C395" s="2" t="inlineStr">
        <is>
          <t>Miami-Dade</t>
        </is>
      </c>
      <c r="D395" s="2" t="inlineStr"/>
      <c r="E395" s="2" t="inlineStr">
        <is>
          <t>http://www.temptrolac.com</t>
        </is>
      </c>
      <c r="F395" s="2" t="inlineStr"/>
      <c r="G395" s="2" t="inlineStr">
        <is>
          <t>Miami AC company tagged air conditioning, established (indexed 2015); neighborhood unverified.</t>
        </is>
      </c>
      <c r="H395" s="2" t="inlineStr">
        <is>
          <t>miami-dade-north</t>
        </is>
      </c>
      <c r="I395" s="2" t="inlineStr">
        <is>
          <t>http://www.temptrolac.com</t>
        </is>
      </c>
    </row>
    <row r="396">
      <c r="A396" s="2" t="inlineStr">
        <is>
          <t>thermomac</t>
        </is>
      </c>
      <c r="B396" s="2" t="inlineStr">
        <is>
          <t>Doral</t>
        </is>
      </c>
      <c r="C396" s="2" t="inlineStr">
        <is>
          <t>Miami-Dade</t>
        </is>
      </c>
      <c r="D396" s="2" t="inlineStr"/>
      <c r="E396" s="2" t="inlineStr">
        <is>
          <t>http://www.thermomac.com</t>
        </is>
      </c>
      <c r="F396" s="2" t="inlineStr"/>
      <c r="G396" s="2" t="inlineStr">
        <is>
          <t>Doral company tagged air conditioning/HVAC; lowercase brand, verify it is a service contractor rather than a controls/parts vendor.</t>
        </is>
      </c>
      <c r="H396" s="2" t="inlineStr">
        <is>
          <t>miami-dade-north</t>
        </is>
      </c>
      <c r="I396" s="2" t="inlineStr">
        <is>
          <t>http://www.thermomac.com</t>
        </is>
      </c>
    </row>
    <row r="397">
      <c r="A397" s="2" t="inlineStr">
        <is>
          <t>Thevenin Enterprises Inc</t>
        </is>
      </c>
      <c r="B397" s="2" t="inlineStr">
        <is>
          <t>Hialeah</t>
        </is>
      </c>
      <c r="C397" s="2" t="inlineStr">
        <is>
          <t>Miami-Dade</t>
        </is>
      </c>
      <c r="D397" s="2" t="inlineStr"/>
      <c r="E397" s="2" t="inlineStr">
        <is>
          <t>http://www.theveninenterprises.com</t>
        </is>
      </c>
      <c r="F397" s="2" t="inlineStr"/>
      <c r="G397" s="2" t="inlineStr">
        <is>
          <t>Hialeah HVAC contractor (NAICS 23822); website domain failed DNS lookup - web presence appears down or neglected, a clear weak-systems signal.</t>
        </is>
      </c>
      <c r="H397" s="2" t="inlineStr">
        <is>
          <t>miami-dade-north</t>
        </is>
      </c>
      <c r="I397" s="2" t="inlineStr">
        <is>
          <t>http://www.theveninenterprises.com</t>
        </is>
      </c>
    </row>
    <row r="398">
      <c r="A398" s="2" t="inlineStr">
        <is>
          <t>Turnkey International Inc</t>
        </is>
      </c>
      <c r="B398" s="2" t="inlineStr">
        <is>
          <t>Doral</t>
        </is>
      </c>
      <c r="C398" s="2" t="inlineStr">
        <is>
          <t>Miami-Dade</t>
        </is>
      </c>
      <c r="D398" s="2" t="inlineStr"/>
      <c r="E398" s="2" t="inlineStr">
        <is>
          <t>http://www.turnkeymechanical.com</t>
        </is>
      </c>
      <c r="F398" s="2" t="inlineStr"/>
      <c r="G398" s="2" t="inlineStr">
        <is>
          <t>Doral mechanical contractor (turnkeymechanical.com), likely commercial HVAC; 1-50 staff; verify fit.</t>
        </is>
      </c>
      <c r="H398" s="2" t="inlineStr">
        <is>
          <t>miami-dade-north</t>
        </is>
      </c>
      <c r="I398" s="2" t="inlineStr">
        <is>
          <t>http://www.turnkeymechanical.com</t>
        </is>
      </c>
    </row>
    <row r="399">
      <c r="A399" s="2" t="inlineStr">
        <is>
          <t>United HVAC Services Inc</t>
        </is>
      </c>
      <c r="B399" s="2" t="inlineStr">
        <is>
          <t>Opa-locka</t>
        </is>
      </c>
      <c r="C399" s="2" t="inlineStr">
        <is>
          <t>Miami-Dade</t>
        </is>
      </c>
      <c r="D399" s="2" t="inlineStr"/>
      <c r="E399" s="2" t="inlineStr">
        <is>
          <t>http://www.unitedhvac-services.com</t>
        </is>
      </c>
      <c r="F399" s="2" t="inlineStr"/>
      <c r="G399" s="2" t="inlineStr">
        <is>
          <t>Opa-locka HVAC service company with placeholder logo in Apollo - thin web presence, likely weak systems; verify.</t>
        </is>
      </c>
      <c r="H399" s="2" t="inlineStr">
        <is>
          <t>miami-dade-north</t>
        </is>
      </c>
      <c r="I399" s="2" t="inlineStr">
        <is>
          <t>http://www.unitedhvac-services.com</t>
        </is>
      </c>
    </row>
    <row r="400">
      <c r="A400" s="2" t="inlineStr">
        <is>
          <t>Viking Air Mechanical Inc.</t>
        </is>
      </c>
      <c r="B400" s="2" t="inlineStr">
        <is>
          <t>Miami</t>
        </is>
      </c>
      <c r="C400" s="2" t="inlineStr">
        <is>
          <t>Miami-Dade</t>
        </is>
      </c>
      <c r="D400" s="2" t="inlineStr"/>
      <c r="E400" s="2" t="inlineStr">
        <is>
          <t>http://www.vikinghvac.net</t>
        </is>
      </c>
      <c r="F400" s="2" t="inlineStr"/>
      <c r="G400" s="2" t="inlineStr">
        <is>
          <t>Miami HVAC contractor (NAICS 23822, indexed 2019); .net domain suggests older site; neighborhood unverified.</t>
        </is>
      </c>
      <c r="H400" s="2" t="inlineStr">
        <is>
          <t>miami-dade-north</t>
        </is>
      </c>
      <c r="I400" s="2" t="inlineStr">
        <is>
          <t>http://www.vikinghvac.net</t>
        </is>
      </c>
    </row>
    <row r="401">
      <c r="A401" s="2" t="inlineStr">
        <is>
          <t>AAA Able A/C &amp; Appliance Service Inc</t>
        </is>
      </c>
      <c r="B401" s="2" t="inlineStr"/>
      <c r="C401" s="2" t="inlineStr">
        <is>
          <t>Broward (unverified)</t>
        </is>
      </c>
      <c r="D401" s="2" t="inlineStr"/>
      <c r="E401" s="2" t="inlineStr">
        <is>
          <t>https://aaaable.com/</t>
        </is>
      </c>
      <c r="F401" s="2" t="inlineStr"/>
      <c r="G401" s="2" t="inlineStr">
        <is>
          <t>FIT: 30+ yrs, residential/mobile home/commercial HVAC + appliance; 'minutes from Lighthouse Point' = NE Broward shop; HQ city not confirmed.</t>
        </is>
      </c>
      <c r="H401" s="2" t="inlineStr">
        <is>
          <t>broward-east-north</t>
        </is>
      </c>
      <c r="I401" s="2" t="inlineStr">
        <is>
          <t>https://aaaable.com/about-us/service-area/air-conditioning-appliance-repair/hollywood</t>
        </is>
      </c>
    </row>
    <row r="402">
      <c r="A402" s="2" t="inlineStr">
        <is>
          <t>All Systems Air Conditioning</t>
        </is>
      </c>
      <c r="B402" s="2" t="inlineStr"/>
      <c r="C402" s="2" t="inlineStr">
        <is>
          <t>Broward (unverified)</t>
        </is>
      </c>
      <c r="D402" s="2" t="inlineStr"/>
      <c r="E402" s="2" t="inlineStr">
        <is>
          <t>https://www.allsystemsac.com/</t>
        </is>
      </c>
      <c r="F402" s="2" t="inlineStr"/>
      <c r="G402" s="2" t="inlineStr">
        <is>
          <t>FIT: third-generation family-owned since 1979, serves Pompano Beach; succession-stage family business; HQ city not confirmed.</t>
        </is>
      </c>
      <c r="H402" s="2" t="inlineStr">
        <is>
          <t>broward-east-north</t>
        </is>
      </c>
      <c r="I402" s="2" t="inlineStr">
        <is>
          <t>https://www.allsystemsac.com/</t>
        </is>
      </c>
    </row>
    <row r="403">
      <c r="A403" s="2" t="inlineStr">
        <is>
          <t>Cool Air USA</t>
        </is>
      </c>
      <c r="B403" s="2" t="inlineStr"/>
      <c r="C403" s="2" t="inlineStr">
        <is>
          <t>Broward (unverified)</t>
        </is>
      </c>
      <c r="D403" s="2" t="inlineStr"/>
      <c r="E403" s="2" t="inlineStr">
        <is>
          <t>https://www.coolairusa.com/</t>
        </is>
      </c>
      <c r="F403" s="2" t="inlineStr"/>
      <c r="G403" s="2" t="inlineStr">
        <is>
          <t>MAYBE: family owned since 2009, added licensed plumbing division, flat-rate pricing; many city pages = may already be 50+ staff, verify size.</t>
        </is>
      </c>
      <c r="H403" s="2" t="inlineStr">
        <is>
          <t>broward-east-north</t>
        </is>
      </c>
      <c r="I403" s="2" t="inlineStr">
        <is>
          <t>https://www.coolairusa.com/about-us/service-areas/broward-county/pompano-beach/</t>
        </is>
      </c>
    </row>
    <row r="404">
      <c r="A404" s="2" t="inlineStr">
        <is>
          <t>National Service Pros</t>
        </is>
      </c>
      <c r="B404" s="2" t="inlineStr"/>
      <c r="C404" s="2" t="inlineStr">
        <is>
          <t>Broward (unverified)</t>
        </is>
      </c>
      <c r="D404" s="2" t="inlineStr"/>
      <c r="E404" s="2" t="inlineStr"/>
      <c r="F404" s="2" t="inlineStr">
        <is>
          <t>119 (Yelp, 4.4)</t>
        </is>
      </c>
      <c r="G404" s="2" t="inlineStr">
        <is>
          <t>FIT: est. 2007, serves Hallandale/Hollywood; 4.4 rating with no visible reply program = reputation-management opening.</t>
        </is>
      </c>
      <c r="H404" s="2" t="inlineStr">
        <is>
          <t>broward-east-north</t>
        </is>
      </c>
      <c r="I404" s="2" t="inlineStr">
        <is>
          <t>https://www.yelp.com/search?find_desc=Hvac&amp;find_loc=Hallandale+Beach%2C+FL</t>
        </is>
      </c>
    </row>
    <row r="405">
      <c r="A405" s="2" t="inlineStr">
        <is>
          <t>Peachy Keen</t>
        </is>
      </c>
      <c r="B405" s="2" t="inlineStr"/>
      <c r="C405" s="2" t="inlineStr">
        <is>
          <t>Broward (unverified)</t>
        </is>
      </c>
      <c r="D405" s="2" t="inlineStr"/>
      <c r="E405" s="2" t="inlineStr">
        <is>
          <t>https://callpeachykeen.com/</t>
        </is>
      </c>
      <c r="F405" s="2" t="inlineStr"/>
      <c r="G405" s="2" t="inlineStr">
        <is>
          <t>FIT: locally owned, family-minded brand targeting Coral Springs; HQ city not confirmed.</t>
        </is>
      </c>
      <c r="H405" s="2" t="inlineStr">
        <is>
          <t>broward-east-north</t>
        </is>
      </c>
      <c r="I405" s="2" t="inlineStr">
        <is>
          <t>https://callpeachykeen.com/coral-springs-ac-repair-maintenance/</t>
        </is>
      </c>
    </row>
  </sheetData>
  <autoFilter ref="A1:I4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4" customWidth="1" min="1" max="1"/>
    <col width="14" customWidth="1" min="2" max="2"/>
  </cols>
  <sheetData>
    <row r="1">
      <c r="A1" s="4" t="inlineStr">
        <is>
          <t>Weekly Scoreboard (auto-counts from Call List Monday)</t>
        </is>
      </c>
    </row>
    <row r="2">
      <c r="A2" s="5" t="inlineStr">
        <is>
          <t>Metric</t>
        </is>
      </c>
      <c r="B2" s="5" t="inlineStr">
        <is>
          <t>Value</t>
        </is>
      </c>
    </row>
    <row r="3">
      <c r="A3" s="6" t="inlineStr">
        <is>
          <t>Tier A prospects</t>
        </is>
      </c>
      <c r="B3" s="6">
        <f>COUNTIF('Call List Monday'!B:B,"A")</f>
        <v/>
      </c>
    </row>
    <row r="4">
      <c r="A4" s="6" t="inlineStr">
        <is>
          <t>Tier B prospects</t>
        </is>
      </c>
      <c r="B4" s="6">
        <f>COUNTIF('Call List Monday'!B:B,"B")</f>
        <v/>
      </c>
    </row>
    <row r="5">
      <c r="A5" s="6" t="inlineStr">
        <is>
          <t>Calls made (Called? = Y)</t>
        </is>
      </c>
      <c r="B5" s="6">
        <f>COUNTIF('Call List Monday'!Z:Z,"Y")</f>
        <v/>
      </c>
    </row>
    <row r="6">
      <c r="A6" s="6" t="inlineStr">
        <is>
          <t>Spoke to owner</t>
        </is>
      </c>
      <c r="B6" s="6">
        <f>COUNTIF('Call List Monday'!AA:AA,"Spoke - Owner")</f>
        <v/>
      </c>
    </row>
    <row r="7">
      <c r="A7" s="6" t="inlineStr">
        <is>
          <t>Leak Checks booked</t>
        </is>
      </c>
      <c r="B7" s="6">
        <f>COUNTIF('Call List Monday'!AA:AA,"Booked Leak Check")</f>
        <v/>
      </c>
    </row>
    <row r="8">
      <c r="A8" s="6" t="inlineStr">
        <is>
          <t>Call backs owed</t>
        </is>
      </c>
      <c r="B8" s="6">
        <f>COUNTIF('Call List Monday'!AA:AA,"Call Back")</f>
        <v/>
      </c>
    </row>
    <row r="9">
      <c r="A9" s="6" t="inlineStr">
        <is>
          <t>Voicemails left</t>
        </is>
      </c>
      <c r="B9" s="6">
        <f>COUNTIF('Call List Monday'!AA:AA,"Voicemail")</f>
        <v/>
      </c>
    </row>
    <row r="10">
      <c r="A10" s="6" t="inlineStr">
        <is>
          <t>Not interested</t>
        </is>
      </c>
      <c r="B10" s="6">
        <f>COUNTIF('Call List Monday'!AA:AA,"Not Interested")</f>
        <v/>
      </c>
    </row>
    <row r="11">
      <c r="A11" s="6" t="inlineStr">
        <is>
          <t>Wrong numbers (fix in list)</t>
        </is>
      </c>
      <c r="B11" s="6">
        <f>COUNTIF('Call List Monday'!AA:AA,"Wrong Number")</f>
        <v/>
      </c>
    </row>
    <row r="12">
      <c r="A12" s="6" t="inlineStr">
        <is>
          <t>Owner-contact rate</t>
        </is>
      </c>
      <c r="B12" s="7">
        <f>IFERROR(B5/B4,0)</f>
        <v/>
      </c>
    </row>
    <row r="13">
      <c r="A13" s="6" t="inlineStr">
        <is>
          <t>Booking rate (of owner conversations)</t>
        </is>
      </c>
      <c r="B13" s="7">
        <f>IFERROR(B6/B5,0)</f>
        <v/>
      </c>
    </row>
    <row r="15">
      <c r="A15" s="8" t="inlineStr">
        <is>
          <t>Weekly target (from the 30-day plan): 25 touches, 3+ owner conversations, 1+ Leak Check booked per week.</t>
        </is>
      </c>
    </row>
    <row r="16">
      <c r="A16" s="8" t="inlineStr">
        <is>
          <t>Legend: yellow cells on "Call List Monday" (Called?, Outcome, Next Step, Follow-up Date, My Notes) are yours to fill in. Everything else was researched Oct 2-3, 2026 from public search results (company-site snippets, BBB principals, Yelp/Google review counts, LinkedIn snippets, chamber directories, job boards); sources are listed per row on "All Prospects". "More Leads (unverified)" holds companies that surfaced in discovery but were not individually researched: confirm phone and owner before relying on a row.</t>
        </is>
      </c>
    </row>
    <row r="17">
      <c r="A17" s="8" t="inlineStr">
        <is>
          <t>Example of a filled row: Called? = Y, Outcome = Booked Leak Check, Next Step = "Tue 7:30am Leak Check, send Calendly link", Follow-up Date = 10/6/2026.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2026-10-03T15:40:41Z</dcterms:created>
  <dcterms:modified xsi:type="dcterms:W3CDTF">2026-10-03T15:40:41Z</dcterms:modified>
</cp:coreProperties>
</file>